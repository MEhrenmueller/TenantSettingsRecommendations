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qlederhose-my.sharepoint.com/personal/markus_ehrenmueller-jensen_savorydata_com/Documents/Talks/Fabric/tenant_settings_recomendation/"/>
    </mc:Choice>
  </mc:AlternateContent>
  <xr:revisionPtr revIDLastSave="195" documentId="8_{395EF648-9865-43BF-95CD-F2C368017A1F}" xr6:coauthVersionLast="47" xr6:coauthVersionMax="47" xr10:uidLastSave="{5A15DDE2-949E-4F68-B079-1D6C68878036}"/>
  <bookViews>
    <workbookView xWindow="-98" yWindow="-98" windowWidth="21795" windowHeight="13875" activeTab="1" xr2:uid="{E6B2C0B5-5FFD-4790-A581-D3BA118F7674}"/>
  </bookViews>
  <sheets>
    <sheet name="Sheet1" sheetId="1" r:id="rId1"/>
    <sheet name="Sheet2" sheetId="2" r:id="rId2"/>
  </sheets>
  <definedNames>
    <definedName name="_xlnm._FilterDatabase" localSheetId="1" hidden="1">Sheet2!$A$1:$A$166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</calcChain>
</file>

<file path=xl/sharedStrings.xml><?xml version="1.0" encoding="utf-8"?>
<sst xmlns="http://schemas.openxmlformats.org/spreadsheetml/2006/main" count="1177" uniqueCount="393">
  <si>
    <t>AllowServicePrincipalsUseReadAdminAPIs</t>
  </si>
  <si>
    <t>Service principals can access read-only admin APIs</t>
  </si>
  <si>
    <t>Admin API settings</t>
  </si>
  <si>
    <t>null</t>
  </si>
  <si>
    <t>AllowServicePrincipalsUseWriteAdminAPIs</t>
  </si>
  <si>
    <t>Service principals can access admin APIs used for updates</t>
  </si>
  <si>
    <t>AdminApisIncludeDetailedMetadata</t>
  </si>
  <si>
    <t>Enhance admin APIs responses with detailed metadata</t>
  </si>
  <si>
    <t>AdminApisIncludeExpressions</t>
  </si>
  <si>
    <t>Enhance admin APIs responses with DAX and mashup expressions</t>
  </si>
  <si>
    <t>AllowAccessOverPrivateLinks</t>
  </si>
  <si>
    <t>Tenant-level Private Link</t>
  </si>
  <si>
    <t>Advanced networking</t>
  </si>
  <si>
    <t>BlockAccessFromPublicNetworks</t>
  </si>
  <si>
    <t>Block Public Internet Access</t>
  </si>
  <si>
    <t>WorkspaceBlockInboundAccess</t>
  </si>
  <si>
    <t>Configure workspace-level inbound network rules</t>
  </si>
  <si>
    <t>WorkspaceBlockOutboundAccess</t>
  </si>
  <si>
    <t>Configure workspace-level outbound network rules</t>
  </si>
  <si>
    <t>ConfigureWorkspaceLevelIPFirewallRules</t>
  </si>
  <si>
    <t>Configure workspace-level IP firewall rules and trusted resource instances (preview)</t>
  </si>
  <si>
    <t>UsageMetrics</t>
  </si>
  <si>
    <t>Usage metrics for content creators</t>
  </si>
  <si>
    <t>Audit and usage settings</t>
  </si>
  <si>
    <t>UsageMetricsTrackUserLevelInfo</t>
  </si>
  <si>
    <t>Per-user data in usage metrics for content creators</t>
  </si>
  <si>
    <t>AllowCapacityMetricsReportUserMask</t>
  </si>
  <si>
    <t>Show user data in the Fabric Capacity Metrics app and reports</t>
  </si>
  <si>
    <t>LogAnalyticsAttachForWorkspaceAdmins</t>
  </si>
  <si>
    <t>Azure Log Analytics connections for workspace administrators</t>
  </si>
  <si>
    <t>PlatformMonitoringTenantSetting</t>
  </si>
  <si>
    <t>Workspace admins can turn on monitoring for their workspaces (preview)</t>
  </si>
  <si>
    <t>ASCollectQueryTextTelemetryTenantSwitch</t>
  </si>
  <si>
    <t>Microsoft can store query text to aid in support investigations</t>
  </si>
  <si>
    <t>AutomatedInsightsTenant</t>
  </si>
  <si>
    <t>Receive notifications for top insights (preview)</t>
  </si>
  <si>
    <t>Insights settings</t>
  </si>
  <si>
    <t>AutomatedInsightsEntryPoints</t>
  </si>
  <si>
    <t>Show entry points for insights (preview)</t>
  </si>
  <si>
    <t>AllowUserDataProcessedByAiServicesOutOfGeo</t>
  </si>
  <si>
    <t>Allow data processing outside geographic region for Azure AI services</t>
  </si>
  <si>
    <t>Azure AI Service</t>
  </si>
  <si>
    <t>AzureMapsInFabric</t>
  </si>
  <si>
    <t>Users can use Azure Maps services</t>
  </si>
  <si>
    <t>Azure Maps services</t>
  </si>
  <si>
    <t>AzureMapsInFabricCrossRegionDataProcessing</t>
  </si>
  <si>
    <t>Data sent to Azure Maps can be processed outside your capacity's geographic region, compliance boundary or national cloud instance</t>
  </si>
  <si>
    <t>AzureMapsWeatherServices</t>
  </si>
  <si>
    <t>Users can use Azure Maps Weather Services (Preview)</t>
  </si>
  <si>
    <t>EnableAOAI</t>
  </si>
  <si>
    <t>Users can use Copilot and other features powered by Azure OpenAI</t>
  </si>
  <si>
    <t>Copilot and Azure OpenAI Service</t>
  </si>
  <si>
    <t>ImmersiveTenantAdminSwitch</t>
  </si>
  <si>
    <t>Users can access a standalone, cross-item Power BI Copilot experience (preview)</t>
  </si>
  <si>
    <t>AllowSendAOAIDataToOtherRegions</t>
  </si>
  <si>
    <t>Data sent to Azure OpenAI can be processed outside your capacity's geographic region, compliance boundary, or national cloud instance</t>
  </si>
  <si>
    <t>CopilotCapacitySetupPermissionSwitch</t>
  </si>
  <si>
    <t>Capacities can be designated as Fabric Copilot capacities</t>
  </si>
  <si>
    <t>AllowStoreAOAIDataInOtherRegions</t>
  </si>
  <si>
    <t>Data sent to Azure OpenAI can be stored outside your capacity's geographic region, compliance boundary, or national cloud instance</t>
  </si>
  <si>
    <t>PreppedForCopilotContentDiscovery</t>
  </si>
  <si>
    <t>Only show approved items in the standalone Copilot in Power BI experience (preview)</t>
  </si>
  <si>
    <t>CDSAManagement</t>
  </si>
  <si>
    <t>Create and use Gen1 dataflows</t>
  </si>
  <si>
    <t>Gen1 dataflow settings</t>
  </si>
  <si>
    <t>TemplatePublish</t>
  </si>
  <si>
    <t>Create template organizational apps</t>
  </si>
  <si>
    <t>App settings</t>
  </si>
  <si>
    <t>AppPush</t>
  </si>
  <si>
    <t>Push apps to end users</t>
  </si>
  <si>
    <t>PublishContentPack</t>
  </si>
  <si>
    <t>Publish apps to the entire organization</t>
  </si>
  <si>
    <t>CustomVisualsTenant</t>
  </si>
  <si>
    <t>Allow visuals created using the Power BI SDK</t>
  </si>
  <si>
    <t>Power BI visuals</t>
  </si>
  <si>
    <t>CertifiedCustomVisualsTenant</t>
  </si>
  <si>
    <t>Add and use certified visuals only (block uncertified)</t>
  </si>
  <si>
    <t>AllowCVToExportDataToFileTenant</t>
  </si>
  <si>
    <t>Allow downloads from custom visuals</t>
  </si>
  <si>
    <t>AllowCVAuthenticationTenant</t>
  </si>
  <si>
    <t>AppSource Custom Visuals SSO</t>
  </si>
  <si>
    <t>AllowCVLocalStorageV2Tenant</t>
  </si>
  <si>
    <t>Allow access to the browser's local storage</t>
  </si>
  <si>
    <t>WebContentTilesTenant</t>
  </si>
  <si>
    <t>Web content on dashboard tiles</t>
  </si>
  <si>
    <t>Dashboard settings</t>
  </si>
  <si>
    <t>EnableReassignDataDomainSwitch</t>
  </si>
  <si>
    <t>Allow tenant and domain admins to override workspace assignments (preview)</t>
  </si>
  <si>
    <t>Domain management settings</t>
  </si>
  <si>
    <t>AdminDataExploreViewPermission</t>
  </si>
  <si>
    <t>Users with view permission can launch Explore</t>
  </si>
  <si>
    <t>Explore settings (preview)</t>
  </si>
  <si>
    <t>DatamartTenant</t>
  </si>
  <si>
    <t>Create Datamarts (preview)</t>
  </si>
  <si>
    <t>Datamart settings</t>
  </si>
  <si>
    <t>WebModelingTenantSwitch</t>
  </si>
  <si>
    <t>Users can edit semantic models in the Power BI service</t>
  </si>
  <si>
    <t>Semantic model settings</t>
  </si>
  <si>
    <t>BlockAutoDiscoverAndPackageRefresh</t>
  </si>
  <si>
    <t>Block republish and disable package refresh</t>
  </si>
  <si>
    <t>Semantic Model Security</t>
  </si>
  <si>
    <t>Embedding</t>
  </si>
  <si>
    <t>Embed content in apps</t>
  </si>
  <si>
    <t>Developer settings</t>
  </si>
  <si>
    <t>ServicePrincipalAccessGlobalAPIs</t>
  </si>
  <si>
    <t>Service principals can create workspaces, connections, and deployment pipelines</t>
  </si>
  <si>
    <t>ServicePrincipalAccessPermissionAPIs</t>
  </si>
  <si>
    <t>Service principals can call Fabric public APIs</t>
  </si>
  <si>
    <t>AllowServicePrincipalsCreateAndUseProfiles</t>
  </si>
  <si>
    <t>Allow service principals to create and use profiles</t>
  </si>
  <si>
    <t>BlockResourceKeyAuthentication</t>
  </si>
  <si>
    <t>Block ResourceKey Authentication</t>
  </si>
  <si>
    <t>ConfigureFabricIdentityTenantLimit</t>
  </si>
  <si>
    <t>Define maximum number of Fabric identities in a tenant</t>
  </si>
  <si>
    <t>[{"name":"FabricIdentityTenantLimit","value":"","type":"Integer"}]</t>
  </si>
  <si>
    <t>DiscoverDatasetsSettingsPromoted</t>
  </si>
  <si>
    <t>Make promoted content discoverable</t>
  </si>
  <si>
    <t>Discovery settings</t>
  </si>
  <si>
    <t>DiscoverDatasetsSettingsCertified</t>
  </si>
  <si>
    <t>Make certified content discoverable</t>
  </si>
  <si>
    <t>DiscoverDatasetsConsumption</t>
  </si>
  <si>
    <t>Discover content</t>
  </si>
  <si>
    <t>WorkspaceCmk</t>
  </si>
  <si>
    <t>Apply customer-managed keys</t>
  </si>
  <si>
    <t>Encryption</t>
  </si>
  <si>
    <t>AllowExternalDataSharingSwitch</t>
  </si>
  <si>
    <t>External data sharing</t>
  </si>
  <si>
    <t>Export and sharing settings</t>
  </si>
  <si>
    <t>AllowExternalDataSharingReceiverSwitch</t>
  </si>
  <si>
    <t>Users can accept external data shares</t>
  </si>
  <si>
    <t>AllowGuestUserToAccessSharedContent</t>
  </si>
  <si>
    <t>Guest users can access Microsoft Fabric</t>
  </si>
  <si>
    <t>ExternalSharingV2</t>
  </si>
  <si>
    <t>Users can invite guest users to collaborate through item sharing and permissions</t>
  </si>
  <si>
    <t>ElevatedGuestsTenant</t>
  </si>
  <si>
    <t>Guest users can browse and access Fabric content</t>
  </si>
  <si>
    <t>AllowGuestLookup</t>
  </si>
  <si>
    <t>Users can see guest users in lists of suggested people</t>
  </si>
  <si>
    <t>PublishToWeb</t>
  </si>
  <si>
    <t>Publish to web</t>
  </si>
  <si>
    <t>[{"name":"CreateP2w","value":"true","type":"Boolean"}]</t>
  </si>
  <si>
    <t>ExportVisualImageTenant</t>
  </si>
  <si>
    <t>Copy and paste visuals</t>
  </si>
  <si>
    <t>ExportToExcelSetting</t>
  </si>
  <si>
    <t>Export to Excel</t>
  </si>
  <si>
    <t>ExportToCsv</t>
  </si>
  <si>
    <t>Export to .csv</t>
  </si>
  <si>
    <t>ExportReport</t>
  </si>
  <si>
    <t>Download reports</t>
  </si>
  <si>
    <t>LiveConnection</t>
  </si>
  <si>
    <t>Users can work with semantic models in Excel using a live connection</t>
  </si>
  <si>
    <t>ExportToPowerPoint</t>
  </si>
  <si>
    <t>Export reports as PowerPoint presentations or PDF documents</t>
  </si>
  <si>
    <t>ExportToMHTML</t>
  </si>
  <si>
    <t>Export reports as MHTML documents</t>
  </si>
  <si>
    <t>ExportToWord</t>
  </si>
  <si>
    <t>Export reports as Word documents</t>
  </si>
  <si>
    <t>ExportToXML</t>
  </si>
  <si>
    <t>Export reports as XML documents</t>
  </si>
  <si>
    <t>ExportToImage</t>
  </si>
  <si>
    <t>Export reports as image files</t>
  </si>
  <si>
    <t>Printing</t>
  </si>
  <si>
    <t>Print dashboards and reports</t>
  </si>
  <si>
    <t>CertifyDatasets</t>
  </si>
  <si>
    <t>Certification</t>
  </si>
  <si>
    <t>[{"name":"CertificationDocumentationUrl","value":"","type":"Url"}]</t>
  </si>
  <si>
    <t>AllowEndorsementMasterDataSwitch</t>
  </si>
  <si>
    <t>Endorse master data</t>
  </si>
  <si>
    <t>EmailSubscriptionTenant</t>
  </si>
  <si>
    <t>Users can set up email subscriptions</t>
  </si>
  <si>
    <t>EmailSubscriptionsToB2BUsers</t>
  </si>
  <si>
    <t>B2B guest users can set up and be subscribed to email subscriptions</t>
  </si>
  <si>
    <t>EmailSubscriptionsToExternalUsers</t>
  </si>
  <si>
    <t>Users can send email subscriptions to external users</t>
  </si>
  <si>
    <t>PromoteContent</t>
  </si>
  <si>
    <t>Featured content</t>
  </si>
  <si>
    <t>EnableExcelYellowIntegration</t>
  </si>
  <si>
    <t>Allow connections to featured tables</t>
  </si>
  <si>
    <t>ShareLinkToEntireOrg</t>
  </si>
  <si>
    <t>Allow shareable links to grant access to everyone in your organization</t>
  </si>
  <si>
    <t>ShareToTeamsTenant</t>
  </si>
  <si>
    <t>Enable Microsoft Teams integration</t>
  </si>
  <si>
    <t>AutoInstallPowerBIAppInTeamsTenant</t>
  </si>
  <si>
    <t>Install Power BI app for Microsoft Teams automatically</t>
  </si>
  <si>
    <t>StorytellingTenant</t>
  </si>
  <si>
    <t>Enable Power BI add-in for PowerPoint</t>
  </si>
  <si>
    <t>AllowPowerBIASDQOnTenant</t>
  </si>
  <si>
    <t>Allow DirectQuery connections to Power BI semantic models</t>
  </si>
  <si>
    <t>ExternalDatasetSharingTenant</t>
  </si>
  <si>
    <t>Guest users can work with shared semantic models in their own tenants</t>
  </si>
  <si>
    <t>EnableDatasetInPlaceSharing</t>
  </si>
  <si>
    <t>Allow specific users to turn on external data sharing</t>
  </si>
  <si>
    <t>AllowNotebookDataExport</t>
  </si>
  <si>
    <t>Users with read or write permission can download data from notebooks</t>
  </si>
  <si>
    <t>GitIntegrationTenantSwitch</t>
  </si>
  <si>
    <t>Users can synchronize workspace items with their Git repositories</t>
  </si>
  <si>
    <t>Git integration</t>
  </si>
  <si>
    <t>GitIntegrationCrossGeoTenantSwitch</t>
  </si>
  <si>
    <t>Users can export items to Git repositories in other geographical locations</t>
  </si>
  <si>
    <t>GitIntegrationSensitivityLabelsTenantSwitch</t>
  </si>
  <si>
    <t>Users can export workspace items with applied sensitivity labels to Git repositories</t>
  </si>
  <si>
    <t>GitHubTenantSettings</t>
  </si>
  <si>
    <t>Users can sync workspace items with GitHub repositories</t>
  </si>
  <si>
    <t>PowerBIGoalsTenant</t>
  </si>
  <si>
    <t>Create and use Scorecards</t>
  </si>
  <si>
    <t>Scorecards settings</t>
  </si>
  <si>
    <t>TenantSettingPublishGetHelpInfo</t>
  </si>
  <si>
    <t>Publish "Get Help" information</t>
  </si>
  <si>
    <t>Help and support settings</t>
  </si>
  <si>
    <t>[{"name":"TrainingDocumentation","value":"","type":"Url"},{"name":"DiscussionForum","value":"","type":"Url"},{"name":"LicensingRequests","value":"","type":"Url"},{"name":"HelpDesk","value":"","type":"Url"}]</t>
  </si>
  <si>
    <t>EmailSecurityGroupsOnOutage</t>
  </si>
  <si>
    <t>Receive email and Teams notifications for service outages or incidents</t>
  </si>
  <si>
    <t>[{"name":"EmailList","value":"[]","type":"MailEnabledSecurityGroup"}]</t>
  </si>
  <si>
    <t>InProductOutageNotification</t>
  </si>
  <si>
    <t>Receive In-product notifications for service outages or incidents</t>
  </si>
  <si>
    <t>AllowFreeTrial</t>
  </si>
  <si>
    <t>Users can try Microsoft Fabric paid features</t>
  </si>
  <si>
    <t>AdminCustomDisclaimer</t>
  </si>
  <si>
    <t>Show a custom message before publishing reports</t>
  </si>
  <si>
    <t>[{"name":"AdminCustomDisclaimer","value":"","type":"Freetext"}]</t>
  </si>
  <si>
    <t>EimInformationProtectionEdit</t>
  </si>
  <si>
    <t>Allow users to apply sensitivity labels for content</t>
  </si>
  <si>
    <t>Information protection</t>
  </si>
  <si>
    <t>EimInformationProtectionDataSourceInheritanceSetting</t>
  </si>
  <si>
    <t>Apply sensitivity labels from data sources to their data in Power BI</t>
  </si>
  <si>
    <t>EimInformationProtectionDownstreamInheritanceSetting</t>
  </si>
  <si>
    <t>Automatically apply sensitivity labels to downstream content</t>
  </si>
  <si>
    <t>EimInformationProtectionWorkspaceAdminsOverrideAutomaticLabelsSetting</t>
  </si>
  <si>
    <t>Allow workspace admins to override automatically applied sensitivity labels</t>
  </si>
  <si>
    <t>BlockProtectedLabelSharingToEntireOrg</t>
  </si>
  <si>
    <t>Restrict content with protected labels from being shared via link with everyone in your organization</t>
  </si>
  <si>
    <t>EimInformationProtectionDefaultLabelDomainSetting</t>
  </si>
  <si>
    <t>Domain admins can set default sensitivity labels for their domains (preview)</t>
  </si>
  <si>
    <t>DataSecurityForAIInteractions</t>
  </si>
  <si>
    <t>Allow Microsoft Purview to secure AI interactions</t>
  </si>
  <si>
    <t>OnPremAnalyzeInExcel</t>
  </si>
  <si>
    <t>Allow XMLA endpoints and Analyze in Excel with on-premises semantic models</t>
  </si>
  <si>
    <t>Integration settings</t>
  </si>
  <si>
    <t>DatasetExecuteQueries</t>
  </si>
  <si>
    <t>Semantic Model Execute Queries REST API</t>
  </si>
  <si>
    <t>PowerBIMCP</t>
  </si>
  <si>
    <t>Users can use the Power BI Model Context Protocol server endpoint (preview)</t>
  </si>
  <si>
    <t>EsriVisual</t>
  </si>
  <si>
    <t>Use ArcGIS Maps for Power BI</t>
  </si>
  <si>
    <t>ArtifactSearchTenant</t>
  </si>
  <si>
    <t>Use global search for Power BI</t>
  </si>
  <si>
    <t>AzureMaps</t>
  </si>
  <si>
    <t>Users can use the Azure Maps visual</t>
  </si>
  <si>
    <t>AzureMapsCrossRegionDataProcessing</t>
  </si>
  <si>
    <t>Data sent to Azure Maps can be processed outside your tenant's geographic region, compliance boundary, or national cloud instance</t>
  </si>
  <si>
    <t>AzureMapsThirdPartyDataProcessing</t>
  </si>
  <si>
    <t>Data sent to Azure Maps can be processed by Microsoft Online Services Subprocessors</t>
  </si>
  <si>
    <t>BingMap</t>
  </si>
  <si>
    <t>Map and filled map visuals</t>
  </si>
  <si>
    <t>VisualizeListInPowerBI</t>
  </si>
  <si>
    <t>Integration with SharePoint and Microsoft Lists</t>
  </si>
  <si>
    <t>DremioSSO</t>
  </si>
  <si>
    <t>Dremio SSO</t>
  </si>
  <si>
    <t>SnowflakeSSO</t>
  </si>
  <si>
    <t>Snowflake SSO</t>
  </si>
  <si>
    <t>RedshiftSSO</t>
  </si>
  <si>
    <t>Redshift SSO</t>
  </si>
  <si>
    <t>GoogleBigQuerySSO</t>
  </si>
  <si>
    <t>Google BigQuery SSO</t>
  </si>
  <si>
    <t>DenodoForPowerBISSO</t>
  </si>
  <si>
    <t>Enable Denodo SSO</t>
  </si>
  <si>
    <t>StarburstAadSSO</t>
  </si>
  <si>
    <t>Enable Starburst SSO</t>
  </si>
  <si>
    <t>AADSSOForGateway</t>
  </si>
  <si>
    <t>Microsoft Entra single sign-on for data gateway</t>
  </si>
  <si>
    <t>OneDriveSharePointViewerIntegrationTenantSettingV2</t>
  </si>
  <si>
    <t>Users can view Power BI files saved in OneDrive and SharePoint (preview)</t>
  </si>
  <si>
    <t>OneDriveSharePointAllowSharingTenantSetting</t>
  </si>
  <si>
    <t>Users can share links to Power BI files stored in OneDrive and SharePoint through Power BI Desktop (preview)</t>
  </si>
  <si>
    <t>ASShareableCloudConnectionBindingSecurityModeTenant</t>
  </si>
  <si>
    <t>Enable granular access control for all data connections</t>
  </si>
  <si>
    <t>ASWritethruContinuousExportTenantSwitch</t>
  </si>
  <si>
    <t>Semantic models can export data to OneLake</t>
  </si>
  <si>
    <t>ODSPRefreshEnforcementTenantAllowAutomaticUpdate</t>
  </si>
  <si>
    <t>Semantic model owners can choose to automatically update semantic models from files imported from OneDrive or SharePoint</t>
  </si>
  <si>
    <t>EnableEsriLibraries</t>
  </si>
  <si>
    <t>ArcGIS GeoAnalytics for Fabric Runtime</t>
  </si>
  <si>
    <t>AllowNonEntraADAuthInEventStream</t>
  </si>
  <si>
    <t>Allow non-Entra ID auth in Eventstream</t>
  </si>
  <si>
    <t>M365DataSharing</t>
  </si>
  <si>
    <t>Share Fabric data with your Microsoft 365 services</t>
  </si>
  <si>
    <t>Share data with your Microsoft 365 services</t>
  </si>
  <si>
    <t>[{"name":"M365DataSharingAcrossGeos","value":"false","type":"Boolean"}]</t>
  </si>
  <si>
    <t>FabricGAWorkloads</t>
  </si>
  <si>
    <t>Users can create Fabric items</t>
  </si>
  <si>
    <t>Microsoft Fabric</t>
  </si>
  <si>
    <t>OntologyPreview</t>
  </si>
  <si>
    <t>Users can create Ontology (preview) items</t>
  </si>
  <si>
    <t>ArtifactGraphPreview</t>
  </si>
  <si>
    <t>User can create Graph (preview)</t>
  </si>
  <si>
    <t>DigitalOperationsPreview</t>
  </si>
  <si>
    <t>Users can create Digital Twin Builder (preview) items</t>
  </si>
  <si>
    <t>ArtifactOrgAppPreview</t>
  </si>
  <si>
    <t>Users can discover and create org apps (preview)</t>
  </si>
  <si>
    <t>FabricFeedbackTenantSwitch</t>
  </si>
  <si>
    <t>Product Feedback</t>
  </si>
  <si>
    <t>FabricPromotionTenantSwitch</t>
  </si>
  <si>
    <t>Users can be informed of upcoming conferences featuring Microsoft Fabric when they are logged in to Fabric</t>
  </si>
  <si>
    <t>MLModelEndpointsTenantSwitch</t>
  </si>
  <si>
    <t>ML models can serve real-time predictions from API endpoints (preview)</t>
  </si>
  <si>
    <t>RTHAnomalyDetectionTenantSwitch</t>
  </si>
  <si>
    <t>Detect anomalies in Real-Time Intelligence (Preview)</t>
  </si>
  <si>
    <t>EventDefinitionTenantSwitch</t>
  </si>
  <si>
    <t>Enable Event Schema Sets in Real-Time Hub (preview)</t>
  </si>
  <si>
    <t>ArtifactDBTItemTenantSwitch</t>
  </si>
  <si>
    <t>Users can create dbt job items (preview)</t>
  </si>
  <si>
    <t>RTHOperationalAgentsTenantSwitch</t>
  </si>
  <si>
    <t>Enable Operations Agents (Preview)</t>
  </si>
  <si>
    <t>ShowActivatorEntryPointsTenantSwitch</t>
  </si>
  <si>
    <t>All Power BI users can see "Set alert" button to create Fabric Activator alerts</t>
  </si>
  <si>
    <t>ArtifactMirroredCatalogPreview</t>
  </si>
  <si>
    <t>Enable new mirrored catalog items (preview)</t>
  </si>
  <si>
    <t>ArtifactPlanningPreview</t>
  </si>
  <si>
    <t>Users can create Plan (preview) items</t>
  </si>
  <si>
    <t>AppBackendTenant</t>
  </si>
  <si>
    <t>Enable Fabric App Items (preview)</t>
  </si>
  <si>
    <t>OneLakeForThirdParty</t>
  </si>
  <si>
    <t>Users can access data stored in OneLake with apps external to Fabric</t>
  </si>
  <si>
    <t>OneLake settings</t>
  </si>
  <si>
    <t>AllowGetOneLakeUDK</t>
  </si>
  <si>
    <t>Use short-lived user-delegated SAS tokens</t>
  </si>
  <si>
    <t>AllowOneLakeUDK</t>
  </si>
  <si>
    <t>Authenticate with OneLake user-delegated SAS tokens</t>
  </si>
  <si>
    <t>OneLakeFileExplorer</t>
  </si>
  <si>
    <t>Users can sync data in OneLake with the OneLake File Explorer app</t>
  </si>
  <si>
    <t>OneLakeDiagnosticLogsEUII</t>
  </si>
  <si>
    <t>Include end-user identifiers in OneLake diagnostic logs</t>
  </si>
  <si>
    <t>QnaFeedbackLoop</t>
  </si>
  <si>
    <t>Review questions</t>
  </si>
  <si>
    <t>Q&amp;A settings</t>
  </si>
  <si>
    <t>QnaLsdlSharing</t>
  </si>
  <si>
    <t>Synonym sharing</t>
  </si>
  <si>
    <t>RScriptVisual</t>
  </si>
  <si>
    <t>Interact with and share R and Python visuals</t>
  </si>
  <si>
    <t>R and Python visuals settings</t>
  </si>
  <si>
    <t>QueryScaleOutTenant</t>
  </si>
  <si>
    <t>Scale out queries for large semantic models</t>
  </si>
  <si>
    <t>Scale-out settings</t>
  </si>
  <si>
    <t>DevelopServiceApps</t>
  </si>
  <si>
    <t>Publish template apps</t>
  </si>
  <si>
    <t>Template app settings</t>
  </si>
  <si>
    <t>InstallServiceApps</t>
  </si>
  <si>
    <t>Install template apps</t>
  </si>
  <si>
    <t>InstallNonvalidatedTemplateApps</t>
  </si>
  <si>
    <t>Install template apps not listed in AppSource</t>
  </si>
  <si>
    <t>ExpFlightingTenant</t>
  </si>
  <si>
    <t>Help Power BI optimize your experience</t>
  </si>
  <si>
    <t>User experience experiments</t>
  </si>
  <si>
    <t>FabricAddWorkloadToWorkspace</t>
  </si>
  <si>
    <t>Workspace admins can add and remove additional workloads (preview)</t>
  </si>
  <si>
    <t>Additional workloads</t>
  </si>
  <si>
    <t>FabricAddPartnerWorkload</t>
  </si>
  <si>
    <t>Capacity admins and contributors can add and remove additional workloads</t>
  </si>
  <si>
    <t>[{"name":"OnlyCapacityAdmins","value":"false","type":"Boolean"}]</t>
  </si>
  <si>
    <t>FabricThirdPartyWorkloads</t>
  </si>
  <si>
    <t>Workspace admins can develop partner workloads</t>
  </si>
  <si>
    <t>ThirdPartyPrivateWorkloads</t>
  </si>
  <si>
    <t>Users can see and work with additional workloads not validated by Microsoft</t>
  </si>
  <si>
    <t>CreateAppWorkspaces</t>
  </si>
  <si>
    <t>Create workspaces</t>
  </si>
  <si>
    <t>Workspace settings</t>
  </si>
  <si>
    <t>UseDatasetsAcrossWorkspaces</t>
  </si>
  <si>
    <t>Use semantic models across workspaces</t>
  </si>
  <si>
    <t>RestrictMyFolderCapacity</t>
  </si>
  <si>
    <t>Block users from reassigning personal workspaces (My Workspace)</t>
  </si>
  <si>
    <t>ConfigureFolderRetentionPeriod</t>
  </si>
  <si>
    <t>Define workspace retention period</t>
  </si>
  <si>
    <t>[{"name":"FolderRetentionPeriod","value":"","type":"Integer"}]</t>
  </si>
  <si>
    <t>AutomaticallyUsePBIR</t>
  </si>
  <si>
    <t>Automatically convert and store reports using Power BI enhanced metadata format (PBIR) (preview)</t>
  </si>
  <si>
    <t>ConfigureArtifactRetentionPeriod</t>
  </si>
  <si>
    <t>Fabric item recovery</t>
  </si>
  <si>
    <t>[{"name":"ArtifactRetentionPeriod","value":"","type":"Integer"}]</t>
  </si>
  <si>
    <t>Setting Name</t>
  </si>
  <si>
    <t>Title</t>
  </si>
  <si>
    <t>Enabled</t>
  </si>
  <si>
    <t>Can Specify Security Groups</t>
  </si>
  <si>
    <t>Tenant Setting Group</t>
  </si>
  <si>
    <t>Enabled Security Groups</t>
  </si>
  <si>
    <t>Excluded Security Groups</t>
  </si>
  <si>
    <t>Delegate To Capacity</t>
  </si>
  <si>
    <t>Delegate To Workspace</t>
  </si>
  <si>
    <t>Delegate To Domain</t>
  </si>
  <si>
    <t>Properties</t>
  </si>
  <si>
    <t>Best Practice Recommendation Light</t>
  </si>
  <si>
    <t>Best Practice Recommendation Light Default</t>
  </si>
  <si>
    <t>Best Practice Recommendation Paranoid</t>
  </si>
  <si>
    <t>Best Practice Recommendation Paranoid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</si>
</sst>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17"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6BA0B-78FB-46E9-BFF5-C325D6FB0C00}" name="Table1" displayName="Table1" ref="A1:O167" totalsRowShown="0" headerRowDxfId="16" dataDxfId="15">
  <autoFilter ref="A1:O167" xr:uid="{1C06BA0B-78FB-46E9-BFF5-C325D6FB0C00}"/>
  <tableColumns count="15">
    <tableColumn id="1" xr3:uid="{BB14A5B7-BE98-4428-9CF0-5D4CD1F107B6}" name="Setting Name" dataDxfId="14"/>
    <tableColumn id="2" xr3:uid="{5DD8B8DA-11DB-4E68-A90C-6E81FC21EC40}" name="Title" dataDxfId="13"/>
    <tableColumn id="3" xr3:uid="{6CD5A99B-0E98-482E-99CB-4D103E511299}" name="Enabled" dataDxfId="12"/>
    <tableColumn id="4" xr3:uid="{0B06518D-A236-402D-91A8-8537B3F9A33C}" name="Can Specify Security Groups" dataDxfId="11"/>
    <tableColumn id="5" xr3:uid="{A6EC8B64-24AC-4222-9E31-E25C3A888D1B}" name="Tenant Setting Group" dataDxfId="10"/>
    <tableColumn id="6" xr3:uid="{26B80BCC-1F1C-45E6-B25D-58B8CE3EA69B}" name="Enabled Security Groups" dataDxfId="9"/>
    <tableColumn id="7" xr3:uid="{4D7033C3-0F78-4A16-A585-DF82CAD4AEC3}" name="Excluded Security Groups" dataDxfId="8"/>
    <tableColumn id="8" xr3:uid="{2D148545-B6F6-4A09-A0B9-140E18464B45}" name="Delegate To Capacity" dataDxfId="7"/>
    <tableColumn id="9" xr3:uid="{553DC492-D72D-487B-9FE8-0C8B8E2AD6CB}" name="Delegate To Workspace" dataDxfId="6"/>
    <tableColumn id="10" xr3:uid="{069DF30A-350E-4A29-A373-9FF20C798719}" name="Delegate To Domain" dataDxfId="5"/>
    <tableColumn id="11" xr3:uid="{40DFE8D6-663C-458D-BAFE-B9102BDCFE05}" name="Properties" dataDxfId="4"/>
    <tableColumn id="12" xr3:uid="{6FF6F95F-5444-49C9-B057-EA9A1DE33039}" name="Best Practice Recommendation Light" dataDxfId="3"/>
    <tableColumn id="13" xr3:uid="{28CAFE4C-3DA5-4A0B-BBAA-7CD19942FE66}" name="Best Practice Recommendation Light Default" dataDxfId="2">
      <calculatedColumnFormula>IF(AND(Table1[[#This Row],[Best Practice Recommendation Light]] &lt;&gt; Table1[[#This Row],[Enabled]], Table1[[#This Row],[Best Practice Recommendation Light]] &lt;&gt; ""), "Change Default","")</calculatedColumnFormula>
    </tableColumn>
    <tableColumn id="14" xr3:uid="{359FD74F-31A8-4805-B3A6-902C61809648}" name="Best Practice Recommendation Paranoid" dataDxfId="1"/>
    <tableColumn id="15" xr3:uid="{33E3AFF4-B869-4910-A0B8-451F0CAFFB2D}" name="Best Practice Recommendation Paranoid Default" dataDxfId="0">
      <calculatedColumnFormula>IF(AND(Table1[[#This Row],[Best Practice Recommendation Paranoid]] &lt;&gt; Table1[[#This Row],[Enabled]], Table1[[#This Row],[Best Practice Recommendation Paranoid]] &lt;&gt; ""), "Change Default","")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EA94-E80D-48AB-B612-A2426DCA2539}">
  <dimension ref="A1:O167"/>
  <sheetViews>
    <sheetView workbookViewId="0">
      <pane xSplit="3" ySplit="1" topLeftCell="D160" activePane="bottomRight" state="frozen"/>
      <selection pane="topRight" activeCell="D1" sqref="D1"/>
      <selection pane="bottomLeft" activeCell="A2" sqref="A2"/>
      <selection pane="bottomRight" activeCell="E2" sqref="E2:E167"/>
    </sheetView>
  </sheetViews>
  <sheetFormatPr defaultRowHeight="14.25" x14ac:dyDescent="0.45"/>
  <cols>
    <col min="1" max="1" width="37.265625" style="2" customWidth="1"/>
    <col min="2" max="2" width="37.86328125" style="2" bestFit="1" customWidth="1"/>
    <col min="3" max="3" width="9.3984375" style="2" bestFit="1" customWidth="1"/>
    <col min="4" max="4" width="9.53125" style="2" bestFit="1" customWidth="1"/>
    <col min="5" max="5" width="9.73046875" style="2" bestFit="1" customWidth="1"/>
    <col min="6" max="6" width="9.53125" style="2" bestFit="1" customWidth="1"/>
    <col min="7" max="7" width="10.265625" style="2" bestFit="1" customWidth="1"/>
    <col min="8" max="8" width="10.06640625" style="2" bestFit="1" customWidth="1"/>
    <col min="9" max="9" width="11.86328125" style="2" bestFit="1" customWidth="1"/>
    <col min="10" max="10" width="12.265625" style="2" bestFit="1" customWidth="1"/>
    <col min="11" max="11" width="11.265625" style="2" bestFit="1" customWidth="1"/>
    <col min="12" max="12" width="13.06640625" style="2" bestFit="1" customWidth="1"/>
    <col min="13" max="15" width="11.06640625" style="2" bestFit="1" customWidth="1"/>
    <col min="16" max="16384" width="9.06640625" style="2"/>
  </cols>
  <sheetData>
    <row r="1" spans="1:15" ht="85.5" x14ac:dyDescent="0.45">
      <c r="A1" s="1" t="s">
        <v>378</v>
      </c>
      <c r="B1" s="1" t="s">
        <v>379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389</v>
      </c>
      <c r="M1" s="1" t="s">
        <v>390</v>
      </c>
      <c r="N1" s="1" t="s">
        <v>391</v>
      </c>
      <c r="O1" s="1" t="s">
        <v>392</v>
      </c>
    </row>
    <row r="2" spans="1:15" ht="28.5" x14ac:dyDescent="0.45">
      <c r="A2" s="1" t="s">
        <v>0</v>
      </c>
      <c r="B2" s="1" t="s">
        <v>1</v>
      </c>
      <c r="C2" s="1" t="b">
        <v>0</v>
      </c>
      <c r="D2" s="1" t="b">
        <v>1</v>
      </c>
      <c r="E2" s="1" t="s">
        <v>2</v>
      </c>
      <c r="F2" s="1" t="s">
        <v>3</v>
      </c>
      <c r="G2" s="1" t="s">
        <v>3</v>
      </c>
      <c r="H2" s="1" t="b">
        <v>0</v>
      </c>
      <c r="I2" s="1"/>
      <c r="J2" s="1" t="b">
        <v>0</v>
      </c>
      <c r="K2" s="1" t="s">
        <v>3</v>
      </c>
      <c r="L2" s="1"/>
      <c r="M2" s="1" t="str">
        <f>IF(AND(Table1[[#This Row],[Best Practice Recommendation Light]] &lt;&gt; Table1[[#This Row],[Enabled]], Table1[[#This Row],[Best Practice Recommendation Light]] &lt;&gt; ""), "Change Default","")</f>
        <v/>
      </c>
      <c r="N2" s="1" t="b">
        <v>0</v>
      </c>
      <c r="O2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3" spans="1:15" ht="28.5" x14ac:dyDescent="0.45">
      <c r="A3" s="1" t="s">
        <v>4</v>
      </c>
      <c r="B3" s="1" t="s">
        <v>5</v>
      </c>
      <c r="C3" s="1" t="b">
        <v>0</v>
      </c>
      <c r="D3" s="1" t="b">
        <v>1</v>
      </c>
      <c r="E3" s="1" t="s">
        <v>2</v>
      </c>
      <c r="F3" s="1" t="s">
        <v>3</v>
      </c>
      <c r="G3" s="1" t="s">
        <v>3</v>
      </c>
      <c r="H3" s="1" t="b">
        <v>0</v>
      </c>
      <c r="I3" s="1" t="b">
        <v>0</v>
      </c>
      <c r="J3" s="1" t="b">
        <v>0</v>
      </c>
      <c r="K3" s="1" t="s">
        <v>3</v>
      </c>
      <c r="L3" s="1"/>
      <c r="M3" s="1" t="str">
        <f>IF(AND(Table1[[#This Row],[Best Practice Recommendation Light]] &lt;&gt; Table1[[#This Row],[Enabled]], Table1[[#This Row],[Best Practice Recommendation Light]] &lt;&gt; ""), "Change Default","")</f>
        <v/>
      </c>
      <c r="N3" s="1" t="b">
        <v>0</v>
      </c>
      <c r="O3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4" spans="1:15" ht="28.5" x14ac:dyDescent="0.45">
      <c r="A4" s="1" t="s">
        <v>6</v>
      </c>
      <c r="B4" s="1" t="s">
        <v>7</v>
      </c>
      <c r="C4" s="1" t="b">
        <v>1</v>
      </c>
      <c r="D4" s="1" t="b">
        <v>1</v>
      </c>
      <c r="E4" s="1" t="s">
        <v>2</v>
      </c>
      <c r="F4" s="1" t="s">
        <v>3</v>
      </c>
      <c r="G4" s="1" t="s">
        <v>3</v>
      </c>
      <c r="H4" s="1" t="b">
        <v>0</v>
      </c>
      <c r="I4" s="1" t="b">
        <v>0</v>
      </c>
      <c r="J4" s="1" t="b">
        <v>0</v>
      </c>
      <c r="K4" s="1" t="s">
        <v>3</v>
      </c>
      <c r="L4" s="1"/>
      <c r="M4" s="1" t="str">
        <f>IF(AND(Table1[[#This Row],[Best Practice Recommendation Light]] &lt;&gt; Table1[[#This Row],[Enabled]], Table1[[#This Row],[Best Practice Recommendation Light]] &lt;&gt; ""), "Change Default","")</f>
        <v/>
      </c>
      <c r="N4" s="1" t="b">
        <v>0</v>
      </c>
      <c r="O4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5" spans="1:15" ht="28.5" x14ac:dyDescent="0.45">
      <c r="A5" s="1" t="s">
        <v>8</v>
      </c>
      <c r="B5" s="1" t="s">
        <v>9</v>
      </c>
      <c r="C5" s="1" t="b">
        <v>1</v>
      </c>
      <c r="D5" s="1" t="b">
        <v>1</v>
      </c>
      <c r="E5" s="1" t="s">
        <v>2</v>
      </c>
      <c r="F5" s="1" t="s">
        <v>3</v>
      </c>
      <c r="G5" s="1" t="s">
        <v>3</v>
      </c>
      <c r="H5" s="1" t="b">
        <v>0</v>
      </c>
      <c r="I5" s="1" t="b">
        <v>0</v>
      </c>
      <c r="J5" s="1" t="b">
        <v>0</v>
      </c>
      <c r="K5" s="1" t="s">
        <v>3</v>
      </c>
      <c r="L5" s="1"/>
      <c r="M5" s="1" t="str">
        <f>IF(AND(Table1[[#This Row],[Best Practice Recommendation Light]] &lt;&gt; Table1[[#This Row],[Enabled]], Table1[[#This Row],[Best Practice Recommendation Light]] &lt;&gt; ""), "Change Default","")</f>
        <v/>
      </c>
      <c r="N5" s="1" t="b">
        <v>0</v>
      </c>
      <c r="O5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6" spans="1:15" ht="28.5" x14ac:dyDescent="0.45">
      <c r="A6" s="1" t="s">
        <v>10</v>
      </c>
      <c r="B6" s="1" t="s">
        <v>11</v>
      </c>
      <c r="C6" s="1" t="b">
        <v>0</v>
      </c>
      <c r="D6" s="1" t="b">
        <v>0</v>
      </c>
      <c r="E6" s="1" t="s">
        <v>12</v>
      </c>
      <c r="F6" s="1" t="s">
        <v>3</v>
      </c>
      <c r="G6" s="1" t="s">
        <v>3</v>
      </c>
      <c r="H6" s="1" t="b">
        <v>0</v>
      </c>
      <c r="I6" s="1" t="b">
        <v>0</v>
      </c>
      <c r="J6" s="1" t="b">
        <v>0</v>
      </c>
      <c r="K6" s="1" t="s">
        <v>3</v>
      </c>
      <c r="L6" s="1"/>
      <c r="M6" s="1" t="str">
        <f>IF(AND(Table1[[#This Row],[Best Practice Recommendation Light]] &lt;&gt; Table1[[#This Row],[Enabled]], Table1[[#This Row],[Best Practice Recommendation Light]] &lt;&gt; ""), "Change Default","")</f>
        <v/>
      </c>
      <c r="N6" s="1" t="b">
        <v>1</v>
      </c>
      <c r="O6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7" spans="1:15" ht="28.5" x14ac:dyDescent="0.45">
      <c r="A7" s="1" t="s">
        <v>13</v>
      </c>
      <c r="B7" s="1" t="s">
        <v>14</v>
      </c>
      <c r="C7" s="1" t="b">
        <v>0</v>
      </c>
      <c r="D7" s="1" t="b">
        <v>0</v>
      </c>
      <c r="E7" s="1" t="s">
        <v>12</v>
      </c>
      <c r="F7" s="1" t="s">
        <v>3</v>
      </c>
      <c r="G7" s="1" t="s">
        <v>3</v>
      </c>
      <c r="H7" s="1" t="b">
        <v>0</v>
      </c>
      <c r="I7" s="1" t="b">
        <v>0</v>
      </c>
      <c r="J7" s="1" t="b">
        <v>0</v>
      </c>
      <c r="K7" s="1" t="s">
        <v>3</v>
      </c>
      <c r="L7" s="1"/>
      <c r="M7" s="1" t="str">
        <f>IF(AND(Table1[[#This Row],[Best Practice Recommendation Light]] &lt;&gt; Table1[[#This Row],[Enabled]], Table1[[#This Row],[Best Practice Recommendation Light]] &lt;&gt; ""), "Change Default","")</f>
        <v/>
      </c>
      <c r="N7" s="1" t="b">
        <v>1</v>
      </c>
      <c r="O7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8" spans="1:15" ht="28.5" x14ac:dyDescent="0.45">
      <c r="A8" s="1" t="s">
        <v>15</v>
      </c>
      <c r="B8" s="1" t="s">
        <v>16</v>
      </c>
      <c r="C8" s="1" t="b">
        <v>0</v>
      </c>
      <c r="D8" s="1" t="b">
        <v>0</v>
      </c>
      <c r="E8" s="1" t="s">
        <v>12</v>
      </c>
      <c r="F8" s="1" t="s">
        <v>3</v>
      </c>
      <c r="G8" s="1" t="s">
        <v>3</v>
      </c>
      <c r="H8" s="1" t="b">
        <v>0</v>
      </c>
      <c r="I8" s="1" t="b">
        <v>0</v>
      </c>
      <c r="J8" s="1" t="b">
        <v>0</v>
      </c>
      <c r="K8" s="1" t="s">
        <v>3</v>
      </c>
      <c r="L8" s="1"/>
      <c r="M8" s="1" t="str">
        <f>IF(AND(Table1[[#This Row],[Best Practice Recommendation Light]] &lt;&gt; Table1[[#This Row],[Enabled]], Table1[[#This Row],[Best Practice Recommendation Light]] &lt;&gt; ""), "Change Default","")</f>
        <v/>
      </c>
      <c r="N8" s="1" t="b">
        <v>1</v>
      </c>
      <c r="O8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9" spans="1:15" ht="28.5" x14ac:dyDescent="0.45">
      <c r="A9" s="1" t="s">
        <v>17</v>
      </c>
      <c r="B9" s="1" t="s">
        <v>18</v>
      </c>
      <c r="C9" s="1" t="b">
        <v>0</v>
      </c>
      <c r="D9" s="1" t="b">
        <v>0</v>
      </c>
      <c r="E9" s="1" t="s">
        <v>12</v>
      </c>
      <c r="F9" s="1" t="s">
        <v>3</v>
      </c>
      <c r="G9" s="1" t="s">
        <v>3</v>
      </c>
      <c r="H9" s="1" t="b">
        <v>0</v>
      </c>
      <c r="I9" s="1" t="b">
        <v>0</v>
      </c>
      <c r="J9" s="1" t="b">
        <v>0</v>
      </c>
      <c r="K9" s="1" t="s">
        <v>3</v>
      </c>
      <c r="L9" s="1"/>
      <c r="M9" s="1" t="str">
        <f>IF(AND(Table1[[#This Row],[Best Practice Recommendation Light]] &lt;&gt; Table1[[#This Row],[Enabled]], Table1[[#This Row],[Best Practice Recommendation Light]] &lt;&gt; ""), "Change Default","")</f>
        <v/>
      </c>
      <c r="N9" s="1" t="b">
        <v>1</v>
      </c>
      <c r="O9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0" spans="1:15" ht="28.5" x14ac:dyDescent="0.45">
      <c r="A10" s="1" t="s">
        <v>19</v>
      </c>
      <c r="B10" s="1" t="s">
        <v>20</v>
      </c>
      <c r="C10" s="1" t="b">
        <v>1</v>
      </c>
      <c r="D10" s="1" t="b">
        <v>0</v>
      </c>
      <c r="E10" s="1" t="s">
        <v>12</v>
      </c>
      <c r="F10" s="1" t="s">
        <v>3</v>
      </c>
      <c r="G10" s="1" t="s">
        <v>3</v>
      </c>
      <c r="H10" s="1" t="b">
        <v>0</v>
      </c>
      <c r="I10" s="1" t="b">
        <v>0</v>
      </c>
      <c r="J10" s="1" t="b">
        <v>0</v>
      </c>
      <c r="K10" s="1" t="s">
        <v>3</v>
      </c>
      <c r="L10" s="1"/>
      <c r="M10" s="1" t="str">
        <f>IF(AND(Table1[[#This Row],[Best Practice Recommendation Light]] &lt;&gt; Table1[[#This Row],[Enabled]], Table1[[#This Row],[Best Practice Recommendation Light]] &lt;&gt; ""), "Change Default","")</f>
        <v/>
      </c>
      <c r="N10" s="1" t="b">
        <v>1</v>
      </c>
      <c r="O10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1" spans="1:15" ht="42.75" x14ac:dyDescent="0.45">
      <c r="A11" s="1" t="s">
        <v>21</v>
      </c>
      <c r="B11" s="1" t="s">
        <v>22</v>
      </c>
      <c r="C11" s="1" t="b">
        <v>1</v>
      </c>
      <c r="D11" s="1" t="b">
        <v>1</v>
      </c>
      <c r="E11" s="1" t="s">
        <v>23</v>
      </c>
      <c r="F11" s="1" t="s">
        <v>3</v>
      </c>
      <c r="G11" s="1" t="s">
        <v>3</v>
      </c>
      <c r="H11" s="1" t="b">
        <v>0</v>
      </c>
      <c r="I11" s="1" t="b">
        <v>0</v>
      </c>
      <c r="J11" s="1" t="b">
        <v>0</v>
      </c>
      <c r="K11" s="1" t="s">
        <v>3</v>
      </c>
      <c r="L11" s="1"/>
      <c r="M11" s="1" t="str">
        <f>IF(AND(Table1[[#This Row],[Best Practice Recommendation Light]] &lt;&gt; Table1[[#This Row],[Enabled]], Table1[[#This Row],[Best Practice Recommendation Light]] &lt;&gt; ""), "Change Default","")</f>
        <v/>
      </c>
      <c r="N11" s="1" t="b">
        <v>1</v>
      </c>
      <c r="O11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2" spans="1:15" ht="42.75" x14ac:dyDescent="0.45">
      <c r="A12" s="1" t="s">
        <v>24</v>
      </c>
      <c r="B12" s="1" t="s">
        <v>25</v>
      </c>
      <c r="C12" s="1" t="b">
        <v>1</v>
      </c>
      <c r="D12" s="1" t="b">
        <v>1</v>
      </c>
      <c r="E12" s="1" t="s">
        <v>23</v>
      </c>
      <c r="F12" s="1" t="s">
        <v>3</v>
      </c>
      <c r="G12" s="1" t="s">
        <v>3</v>
      </c>
      <c r="H12" s="1" t="b">
        <v>0</v>
      </c>
      <c r="I12" s="1" t="b">
        <v>0</v>
      </c>
      <c r="J12" s="1" t="b">
        <v>0</v>
      </c>
      <c r="K12" s="1" t="s">
        <v>3</v>
      </c>
      <c r="L12" s="1"/>
      <c r="M12" s="1" t="str">
        <f>IF(AND(Table1[[#This Row],[Best Practice Recommendation Light]] &lt;&gt; Table1[[#This Row],[Enabled]], Table1[[#This Row],[Best Practice Recommendation Light]] &lt;&gt; ""), "Change Default","")</f>
        <v/>
      </c>
      <c r="N12" s="1" t="b">
        <v>1</v>
      </c>
      <c r="O12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3" spans="1:15" ht="42.75" x14ac:dyDescent="0.45">
      <c r="A13" s="1" t="s">
        <v>26</v>
      </c>
      <c r="B13" s="1" t="s">
        <v>27</v>
      </c>
      <c r="C13" s="1" t="b">
        <v>1</v>
      </c>
      <c r="D13" s="1" t="b">
        <v>0</v>
      </c>
      <c r="E13" s="1" t="s">
        <v>23</v>
      </c>
      <c r="F13" s="1" t="s">
        <v>3</v>
      </c>
      <c r="G13" s="1" t="s">
        <v>3</v>
      </c>
      <c r="H13" s="1" t="b">
        <v>0</v>
      </c>
      <c r="I13" s="1" t="b">
        <v>0</v>
      </c>
      <c r="J13" s="1" t="b">
        <v>0</v>
      </c>
      <c r="K13" s="1" t="s">
        <v>3</v>
      </c>
      <c r="L13" s="1"/>
      <c r="M13" s="1" t="str">
        <f>IF(AND(Table1[[#This Row],[Best Practice Recommendation Light]] &lt;&gt; Table1[[#This Row],[Enabled]], Table1[[#This Row],[Best Practice Recommendation Light]] &lt;&gt; ""), "Change Default","")</f>
        <v/>
      </c>
      <c r="N13" s="1" t="b">
        <v>1</v>
      </c>
      <c r="O13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4" spans="1:15" ht="42.75" x14ac:dyDescent="0.45">
      <c r="A14" s="1" t="s">
        <v>28</v>
      </c>
      <c r="B14" s="1" t="s">
        <v>29</v>
      </c>
      <c r="C14" s="1" t="b">
        <v>0</v>
      </c>
      <c r="D14" s="1" t="b">
        <v>1</v>
      </c>
      <c r="E14" s="1" t="s">
        <v>23</v>
      </c>
      <c r="F14" s="1" t="s">
        <v>3</v>
      </c>
      <c r="G14" s="1" t="s">
        <v>3</v>
      </c>
      <c r="H14" s="1" t="b">
        <v>0</v>
      </c>
      <c r="I14" s="1" t="b">
        <v>0</v>
      </c>
      <c r="J14" s="1" t="b">
        <v>0</v>
      </c>
      <c r="K14" s="1" t="s">
        <v>3</v>
      </c>
      <c r="L14" s="1"/>
      <c r="M14" s="1" t="str">
        <f>IF(AND(Table1[[#This Row],[Best Practice Recommendation Light]] &lt;&gt; Table1[[#This Row],[Enabled]], Table1[[#This Row],[Best Practice Recommendation Light]] &lt;&gt; ""), "Change Default","")</f>
        <v/>
      </c>
      <c r="N14" s="1" t="b">
        <v>1</v>
      </c>
      <c r="O14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5" spans="1:15" ht="42.75" x14ac:dyDescent="0.45">
      <c r="A15" s="1" t="s">
        <v>30</v>
      </c>
      <c r="B15" s="1" t="s">
        <v>31</v>
      </c>
      <c r="C15" s="1" t="b">
        <v>1</v>
      </c>
      <c r="D15" s="1" t="b">
        <v>1</v>
      </c>
      <c r="E15" s="1" t="s">
        <v>23</v>
      </c>
      <c r="F15" s="1" t="s">
        <v>3</v>
      </c>
      <c r="G15" s="1" t="s">
        <v>3</v>
      </c>
      <c r="H15" s="1" t="b">
        <v>1</v>
      </c>
      <c r="I15" s="1" t="b">
        <v>0</v>
      </c>
      <c r="J15" s="1" t="b">
        <v>0</v>
      </c>
      <c r="K15" s="1" t="s">
        <v>3</v>
      </c>
      <c r="L15" s="1"/>
      <c r="M15" s="1" t="str">
        <f>IF(AND(Table1[[#This Row],[Best Practice Recommendation Light]] &lt;&gt; Table1[[#This Row],[Enabled]], Table1[[#This Row],[Best Practice Recommendation Light]] &lt;&gt; ""), "Change Default","")</f>
        <v/>
      </c>
      <c r="N15" s="1" t="b">
        <v>1</v>
      </c>
      <c r="O15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6" spans="1:15" ht="42.75" x14ac:dyDescent="0.45">
      <c r="A16" s="1" t="s">
        <v>32</v>
      </c>
      <c r="B16" s="1" t="s">
        <v>33</v>
      </c>
      <c r="C16" s="1" t="b">
        <v>1</v>
      </c>
      <c r="D16" s="1" t="b">
        <v>0</v>
      </c>
      <c r="E16" s="1" t="s">
        <v>23</v>
      </c>
      <c r="F16" s="1" t="s">
        <v>3</v>
      </c>
      <c r="G16" s="1" t="s">
        <v>3</v>
      </c>
      <c r="H16" s="1" t="b">
        <v>0</v>
      </c>
      <c r="I16" s="1" t="b">
        <v>0</v>
      </c>
      <c r="J16" s="1" t="b">
        <v>0</v>
      </c>
      <c r="K16" s="1" t="s">
        <v>3</v>
      </c>
      <c r="L16" s="1"/>
      <c r="M16" s="1" t="str">
        <f>IF(AND(Table1[[#This Row],[Best Practice Recommendation Light]] &lt;&gt; Table1[[#This Row],[Enabled]], Table1[[#This Row],[Best Practice Recommendation Light]] &lt;&gt; ""), "Change Default","")</f>
        <v/>
      </c>
      <c r="N16" s="1" t="b">
        <v>0</v>
      </c>
      <c r="O16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7" spans="1:15" ht="28.5" x14ac:dyDescent="0.45">
      <c r="A17" s="1" t="s">
        <v>34</v>
      </c>
      <c r="B17" s="1" t="s">
        <v>35</v>
      </c>
      <c r="C17" s="1" t="b">
        <v>1</v>
      </c>
      <c r="D17" s="1" t="b">
        <v>1</v>
      </c>
      <c r="E17" s="1" t="s">
        <v>36</v>
      </c>
      <c r="F17" s="1" t="s">
        <v>3</v>
      </c>
      <c r="G17" s="1" t="s">
        <v>3</v>
      </c>
      <c r="H17" s="1" t="b">
        <v>0</v>
      </c>
      <c r="I17" s="1" t="b">
        <v>0</v>
      </c>
      <c r="J17" s="1" t="b">
        <v>0</v>
      </c>
      <c r="K17" s="1" t="s">
        <v>3</v>
      </c>
      <c r="L17" s="1"/>
      <c r="M17" s="1" t="str">
        <f>IF(AND(Table1[[#This Row],[Best Practice Recommendation Light]] &lt;&gt; Table1[[#This Row],[Enabled]], Table1[[#This Row],[Best Practice Recommendation Light]] &lt;&gt; ""), "Change Default","")</f>
        <v/>
      </c>
      <c r="N17" s="1" t="b">
        <v>0</v>
      </c>
      <c r="O17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8" spans="1:15" ht="28.5" x14ac:dyDescent="0.45">
      <c r="A18" s="1" t="s">
        <v>37</v>
      </c>
      <c r="B18" s="1" t="s">
        <v>38</v>
      </c>
      <c r="C18" s="1" t="b">
        <v>1</v>
      </c>
      <c r="D18" s="1" t="b">
        <v>1</v>
      </c>
      <c r="E18" s="1" t="s">
        <v>36</v>
      </c>
      <c r="F18" s="1" t="s">
        <v>3</v>
      </c>
      <c r="G18" s="1" t="s">
        <v>3</v>
      </c>
      <c r="H18" s="1" t="b">
        <v>0</v>
      </c>
      <c r="I18" s="1" t="b">
        <v>0</v>
      </c>
      <c r="J18" s="1" t="b">
        <v>0</v>
      </c>
      <c r="K18" s="1" t="s">
        <v>3</v>
      </c>
      <c r="L18" s="1"/>
      <c r="M18" s="1" t="str">
        <f>IF(AND(Table1[[#This Row],[Best Practice Recommendation Light]] &lt;&gt; Table1[[#This Row],[Enabled]], Table1[[#This Row],[Best Practice Recommendation Light]] &lt;&gt; ""), "Change Default","")</f>
        <v/>
      </c>
      <c r="N18" s="1" t="b">
        <v>0</v>
      </c>
      <c r="O18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9" spans="1:15" ht="28.5" x14ac:dyDescent="0.45">
      <c r="A19" s="1" t="s">
        <v>39</v>
      </c>
      <c r="B19" s="1" t="s">
        <v>40</v>
      </c>
      <c r="C19" s="1" t="b">
        <v>0</v>
      </c>
      <c r="D19" s="1" t="b">
        <v>1</v>
      </c>
      <c r="E19" s="1" t="s">
        <v>41</v>
      </c>
      <c r="F19" s="1" t="s">
        <v>3</v>
      </c>
      <c r="G19" s="1" t="s">
        <v>3</v>
      </c>
      <c r="H19" s="1" t="b">
        <v>0</v>
      </c>
      <c r="I19" s="1" t="b">
        <v>0</v>
      </c>
      <c r="J19" s="1" t="b">
        <v>0</v>
      </c>
      <c r="K19" s="1" t="s">
        <v>3</v>
      </c>
      <c r="L19" s="1"/>
      <c r="M19" s="1" t="str">
        <f>IF(AND(Table1[[#This Row],[Best Practice Recommendation Light]] &lt;&gt; Table1[[#This Row],[Enabled]], Table1[[#This Row],[Best Practice Recommendation Light]] &lt;&gt; ""), "Change Default","")</f>
        <v/>
      </c>
      <c r="N19" s="1" t="b">
        <v>0</v>
      </c>
      <c r="O19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20" spans="1:15" ht="28.5" x14ac:dyDescent="0.45">
      <c r="A20" s="1" t="s">
        <v>42</v>
      </c>
      <c r="B20" s="1" t="s">
        <v>43</v>
      </c>
      <c r="C20" s="1" t="b">
        <v>1</v>
      </c>
      <c r="D20" s="1" t="b">
        <v>1</v>
      </c>
      <c r="E20" s="1" t="s">
        <v>44</v>
      </c>
      <c r="F20" s="1" t="s">
        <v>3</v>
      </c>
      <c r="G20" s="1" t="s">
        <v>3</v>
      </c>
      <c r="H20" s="1" t="b">
        <v>0</v>
      </c>
      <c r="I20" s="1" t="b">
        <v>0</v>
      </c>
      <c r="J20" s="1" t="b">
        <v>0</v>
      </c>
      <c r="K20" s="1" t="s">
        <v>3</v>
      </c>
      <c r="L20" s="1"/>
      <c r="M20" s="1" t="str">
        <f>IF(AND(Table1[[#This Row],[Best Practice Recommendation Light]] &lt;&gt; Table1[[#This Row],[Enabled]], Table1[[#This Row],[Best Practice Recommendation Light]] &lt;&gt; ""), "Change Default","")</f>
        <v/>
      </c>
      <c r="N20" s="1" t="b">
        <v>0</v>
      </c>
      <c r="O20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21" spans="1:15" ht="57" x14ac:dyDescent="0.45">
      <c r="A21" s="1" t="s">
        <v>45</v>
      </c>
      <c r="B21" s="1" t="s">
        <v>46</v>
      </c>
      <c r="C21" s="1" t="b">
        <v>0</v>
      </c>
      <c r="D21" s="1" t="b">
        <v>1</v>
      </c>
      <c r="E21" s="1" t="s">
        <v>44</v>
      </c>
      <c r="F21" s="1" t="s">
        <v>3</v>
      </c>
      <c r="G21" s="1" t="s">
        <v>3</v>
      </c>
      <c r="H21" s="1" t="b">
        <v>0</v>
      </c>
      <c r="I21" s="1" t="b">
        <v>0</v>
      </c>
      <c r="J21" s="1" t="b">
        <v>0</v>
      </c>
      <c r="K21" s="1" t="s">
        <v>3</v>
      </c>
      <c r="L21" s="1"/>
      <c r="M21" s="1" t="str">
        <f>IF(AND(Table1[[#This Row],[Best Practice Recommendation Light]] &lt;&gt; Table1[[#This Row],[Enabled]], Table1[[#This Row],[Best Practice Recommendation Light]] &lt;&gt; ""), "Change Default","")</f>
        <v/>
      </c>
      <c r="N21" s="1" t="b">
        <v>0</v>
      </c>
      <c r="O21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22" spans="1:15" ht="28.5" x14ac:dyDescent="0.45">
      <c r="A22" s="1" t="s">
        <v>47</v>
      </c>
      <c r="B22" s="1" t="s">
        <v>48</v>
      </c>
      <c r="C22" s="1" t="b">
        <v>1</v>
      </c>
      <c r="D22" s="1" t="b">
        <v>0</v>
      </c>
      <c r="E22" s="1" t="s">
        <v>44</v>
      </c>
      <c r="F22" s="1" t="s">
        <v>3</v>
      </c>
      <c r="G22" s="1" t="s">
        <v>3</v>
      </c>
      <c r="H22" s="1" t="b">
        <v>0</v>
      </c>
      <c r="I22" s="1" t="b">
        <v>0</v>
      </c>
      <c r="J22" s="1" t="b">
        <v>0</v>
      </c>
      <c r="K22" s="1" t="s">
        <v>3</v>
      </c>
      <c r="L22" s="1"/>
      <c r="M22" s="1" t="str">
        <f>IF(AND(Table1[[#This Row],[Best Practice Recommendation Light]] &lt;&gt; Table1[[#This Row],[Enabled]], Table1[[#This Row],[Best Practice Recommendation Light]] &lt;&gt; ""), "Change Default","")</f>
        <v/>
      </c>
      <c r="N22" s="1" t="b">
        <v>0</v>
      </c>
      <c r="O22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23" spans="1:15" ht="57" x14ac:dyDescent="0.45">
      <c r="A23" s="1" t="s">
        <v>49</v>
      </c>
      <c r="B23" s="1" t="s">
        <v>50</v>
      </c>
      <c r="C23" s="1" t="b">
        <v>1</v>
      </c>
      <c r="D23" s="1" t="b">
        <v>1</v>
      </c>
      <c r="E23" s="1" t="s">
        <v>51</v>
      </c>
      <c r="F23" s="1" t="s">
        <v>3</v>
      </c>
      <c r="G23" s="1" t="s">
        <v>3</v>
      </c>
      <c r="H23" s="1" t="b">
        <v>1</v>
      </c>
      <c r="I23" s="1" t="b">
        <v>0</v>
      </c>
      <c r="J23" s="1" t="b">
        <v>0</v>
      </c>
      <c r="K23" s="1" t="s">
        <v>3</v>
      </c>
      <c r="L23" s="1"/>
      <c r="M23" s="1" t="str">
        <f>IF(AND(Table1[[#This Row],[Best Practice Recommendation Light]] &lt;&gt; Table1[[#This Row],[Enabled]], Table1[[#This Row],[Best Practice Recommendation Light]] &lt;&gt; ""), "Change Default","")</f>
        <v/>
      </c>
      <c r="N23" s="1" t="b">
        <v>0</v>
      </c>
      <c r="O23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24" spans="1:15" ht="57" x14ac:dyDescent="0.45">
      <c r="A24" s="1" t="s">
        <v>52</v>
      </c>
      <c r="B24" s="1" t="s">
        <v>53</v>
      </c>
      <c r="C24" s="1" t="b">
        <v>1</v>
      </c>
      <c r="D24" s="1" t="b">
        <v>1</v>
      </c>
      <c r="E24" s="1" t="s">
        <v>51</v>
      </c>
      <c r="F24" s="1" t="s">
        <v>3</v>
      </c>
      <c r="G24" s="1" t="s">
        <v>3</v>
      </c>
      <c r="H24" s="1" t="b">
        <v>0</v>
      </c>
      <c r="I24" s="1" t="b">
        <v>0</v>
      </c>
      <c r="J24" s="1" t="b">
        <v>0</v>
      </c>
      <c r="K24" s="1" t="s">
        <v>3</v>
      </c>
      <c r="L24" s="1"/>
      <c r="M24" s="1" t="str">
        <f>IF(AND(Table1[[#This Row],[Best Practice Recommendation Light]] &lt;&gt; Table1[[#This Row],[Enabled]], Table1[[#This Row],[Best Practice Recommendation Light]] &lt;&gt; ""), "Change Default","")</f>
        <v/>
      </c>
      <c r="N24" s="1" t="b">
        <v>0</v>
      </c>
      <c r="O24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25" spans="1:15" ht="57" x14ac:dyDescent="0.45">
      <c r="A25" s="1" t="s">
        <v>54</v>
      </c>
      <c r="B25" s="1" t="s">
        <v>55</v>
      </c>
      <c r="C25" s="1" t="b">
        <v>0</v>
      </c>
      <c r="D25" s="1" t="b">
        <v>1</v>
      </c>
      <c r="E25" s="1" t="s">
        <v>51</v>
      </c>
      <c r="F25" s="1" t="s">
        <v>3</v>
      </c>
      <c r="G25" s="1" t="s">
        <v>3</v>
      </c>
      <c r="H25" s="1" t="b">
        <v>0</v>
      </c>
      <c r="I25" s="1" t="b">
        <v>0</v>
      </c>
      <c r="J25" s="1" t="b">
        <v>0</v>
      </c>
      <c r="K25" s="1" t="s">
        <v>3</v>
      </c>
      <c r="L25" s="1"/>
      <c r="M25" s="1" t="str">
        <f>IF(AND(Table1[[#This Row],[Best Practice Recommendation Light]] &lt;&gt; Table1[[#This Row],[Enabled]], Table1[[#This Row],[Best Practice Recommendation Light]] &lt;&gt; ""), "Change Default","")</f>
        <v/>
      </c>
      <c r="N25" s="1" t="b">
        <v>0</v>
      </c>
      <c r="O25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26" spans="1:15" ht="57" x14ac:dyDescent="0.45">
      <c r="A26" s="1" t="s">
        <v>56</v>
      </c>
      <c r="B26" s="1" t="s">
        <v>57</v>
      </c>
      <c r="C26" s="1" t="b">
        <v>1</v>
      </c>
      <c r="D26" s="1" t="b">
        <v>1</v>
      </c>
      <c r="E26" s="1" t="s">
        <v>51</v>
      </c>
      <c r="F26" s="1" t="s">
        <v>3</v>
      </c>
      <c r="G26" s="1" t="s">
        <v>3</v>
      </c>
      <c r="H26" s="1" t="b">
        <v>0</v>
      </c>
      <c r="I26" s="1" t="b">
        <v>0</v>
      </c>
      <c r="J26" s="1" t="b">
        <v>0</v>
      </c>
      <c r="K26" s="1" t="s">
        <v>3</v>
      </c>
      <c r="L26" s="1"/>
      <c r="M26" s="1" t="str">
        <f>IF(AND(Table1[[#This Row],[Best Practice Recommendation Light]] &lt;&gt; Table1[[#This Row],[Enabled]], Table1[[#This Row],[Best Practice Recommendation Light]] &lt;&gt; ""), "Change Default","")</f>
        <v/>
      </c>
      <c r="N26" s="1" t="b">
        <v>1</v>
      </c>
      <c r="O26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27" spans="1:15" ht="57" x14ac:dyDescent="0.45">
      <c r="A27" s="1" t="s">
        <v>58</v>
      </c>
      <c r="B27" s="1" t="s">
        <v>59</v>
      </c>
      <c r="C27" s="1" t="b">
        <v>0</v>
      </c>
      <c r="D27" s="1" t="b">
        <v>1</v>
      </c>
      <c r="E27" s="1" t="s">
        <v>51</v>
      </c>
      <c r="F27" s="1" t="s">
        <v>3</v>
      </c>
      <c r="G27" s="1" t="s">
        <v>3</v>
      </c>
      <c r="H27" s="1" t="b">
        <v>0</v>
      </c>
      <c r="I27" s="1" t="b">
        <v>0</v>
      </c>
      <c r="J27" s="1" t="b">
        <v>0</v>
      </c>
      <c r="K27" s="1" t="s">
        <v>3</v>
      </c>
      <c r="L27" s="1"/>
      <c r="M27" s="1" t="str">
        <f>IF(AND(Table1[[#This Row],[Best Practice Recommendation Light]] &lt;&gt; Table1[[#This Row],[Enabled]], Table1[[#This Row],[Best Practice Recommendation Light]] &lt;&gt; ""), "Change Default","")</f>
        <v/>
      </c>
      <c r="N27" s="1" t="b">
        <v>0</v>
      </c>
      <c r="O27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28" spans="1:15" ht="57" x14ac:dyDescent="0.45">
      <c r="A28" s="1" t="s">
        <v>60</v>
      </c>
      <c r="B28" s="1" t="s">
        <v>61</v>
      </c>
      <c r="C28" s="1" t="b">
        <v>0</v>
      </c>
      <c r="D28" s="1" t="b">
        <v>0</v>
      </c>
      <c r="E28" s="1" t="s">
        <v>51</v>
      </c>
      <c r="F28" s="1" t="s">
        <v>3</v>
      </c>
      <c r="G28" s="1" t="s">
        <v>3</v>
      </c>
      <c r="H28" s="1" t="b">
        <v>0</v>
      </c>
      <c r="I28" s="1" t="b">
        <v>1</v>
      </c>
      <c r="J28" s="1" t="b">
        <v>1</v>
      </c>
      <c r="K28" s="1" t="s">
        <v>3</v>
      </c>
      <c r="L28" s="1"/>
      <c r="M28" s="1" t="str">
        <f>IF(AND(Table1[[#This Row],[Best Practice Recommendation Light]] &lt;&gt; Table1[[#This Row],[Enabled]], Table1[[#This Row],[Best Practice Recommendation Light]] &lt;&gt; ""), "Change Default","")</f>
        <v/>
      </c>
      <c r="N28" s="1" t="b">
        <v>1</v>
      </c>
      <c r="O28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29" spans="1:15" ht="42.75" x14ac:dyDescent="0.45">
      <c r="A29" s="1" t="s">
        <v>62</v>
      </c>
      <c r="B29" s="1" t="s">
        <v>63</v>
      </c>
      <c r="C29" s="1" t="b">
        <v>1</v>
      </c>
      <c r="D29" s="1" t="b">
        <v>0</v>
      </c>
      <c r="E29" s="1" t="s">
        <v>64</v>
      </c>
      <c r="F29" s="1" t="s">
        <v>3</v>
      </c>
      <c r="G29" s="1" t="s">
        <v>3</v>
      </c>
      <c r="H29" s="1" t="b">
        <v>0</v>
      </c>
      <c r="I29" s="1" t="b">
        <v>0</v>
      </c>
      <c r="J29" s="1" t="b">
        <v>0</v>
      </c>
      <c r="K29" s="1" t="s">
        <v>3</v>
      </c>
      <c r="L29" s="1"/>
      <c r="M29" s="1" t="str">
        <f>IF(AND(Table1[[#This Row],[Best Practice Recommendation Light]] &lt;&gt; Table1[[#This Row],[Enabled]], Table1[[#This Row],[Best Practice Recommendation Light]] &lt;&gt; ""), "Change Default","")</f>
        <v/>
      </c>
      <c r="N29" s="1" t="b">
        <v>0</v>
      </c>
      <c r="O29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30" spans="1:15" ht="28.5" x14ac:dyDescent="0.45">
      <c r="A30" s="1" t="s">
        <v>65</v>
      </c>
      <c r="B30" s="1" t="s">
        <v>66</v>
      </c>
      <c r="C30" s="1" t="b">
        <v>0</v>
      </c>
      <c r="D30" s="1" t="b">
        <v>1</v>
      </c>
      <c r="E30" s="1" t="s">
        <v>67</v>
      </c>
      <c r="F30" s="1" t="s">
        <v>3</v>
      </c>
      <c r="G30" s="1" t="s">
        <v>3</v>
      </c>
      <c r="H30" s="1" t="b">
        <v>0</v>
      </c>
      <c r="I30" s="1" t="b">
        <v>0</v>
      </c>
      <c r="J30" s="1" t="b">
        <v>0</v>
      </c>
      <c r="K30" s="1" t="s">
        <v>3</v>
      </c>
      <c r="L30" s="1"/>
      <c r="M30" s="1" t="str">
        <f>IF(AND(Table1[[#This Row],[Best Practice Recommendation Light]] &lt;&gt; Table1[[#This Row],[Enabled]], Table1[[#This Row],[Best Practice Recommendation Light]] &lt;&gt; ""), "Change Default","")</f>
        <v/>
      </c>
      <c r="N30" s="1" t="b">
        <v>0</v>
      </c>
      <c r="O30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31" spans="1:15" ht="28.5" x14ac:dyDescent="0.45">
      <c r="A31" s="1" t="s">
        <v>68</v>
      </c>
      <c r="B31" s="1" t="s">
        <v>69</v>
      </c>
      <c r="C31" s="1" t="b">
        <v>1</v>
      </c>
      <c r="D31" s="1" t="b">
        <v>1</v>
      </c>
      <c r="E31" s="1" t="s">
        <v>67</v>
      </c>
      <c r="F31" s="1" t="s">
        <v>3</v>
      </c>
      <c r="G31" s="1" t="s">
        <v>3</v>
      </c>
      <c r="H31" s="1" t="b">
        <v>0</v>
      </c>
      <c r="I31" s="1" t="b">
        <v>0</v>
      </c>
      <c r="J31" s="1" t="b">
        <v>0</v>
      </c>
      <c r="K31" s="1" t="s">
        <v>3</v>
      </c>
      <c r="L31" s="1"/>
      <c r="M31" s="1" t="str">
        <f>IF(AND(Table1[[#This Row],[Best Practice Recommendation Light]] &lt;&gt; Table1[[#This Row],[Enabled]], Table1[[#This Row],[Best Practice Recommendation Light]] &lt;&gt; ""), "Change Default","")</f>
        <v/>
      </c>
      <c r="N31" s="1" t="b">
        <v>1</v>
      </c>
      <c r="O31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32" spans="1:15" ht="28.5" x14ac:dyDescent="0.45">
      <c r="A32" s="1" t="s">
        <v>70</v>
      </c>
      <c r="B32" s="1" t="s">
        <v>71</v>
      </c>
      <c r="C32" s="1" t="b">
        <v>1</v>
      </c>
      <c r="D32" s="1" t="b">
        <v>1</v>
      </c>
      <c r="E32" s="1" t="s">
        <v>67</v>
      </c>
      <c r="F32" s="1" t="s">
        <v>3</v>
      </c>
      <c r="G32" s="1" t="s">
        <v>3</v>
      </c>
      <c r="H32" s="1" t="b">
        <v>0</v>
      </c>
      <c r="I32" s="1" t="b">
        <v>0</v>
      </c>
      <c r="J32" s="1" t="b">
        <v>0</v>
      </c>
      <c r="K32" s="1" t="s">
        <v>3</v>
      </c>
      <c r="L32" s="1"/>
      <c r="M32" s="1" t="str">
        <f>IF(AND(Table1[[#This Row],[Best Practice Recommendation Light]] &lt;&gt; Table1[[#This Row],[Enabled]], Table1[[#This Row],[Best Practice Recommendation Light]] &lt;&gt; ""), "Change Default","")</f>
        <v/>
      </c>
      <c r="N32" s="1" t="b">
        <v>1</v>
      </c>
      <c r="O32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33" spans="1:15" ht="28.5" x14ac:dyDescent="0.45">
      <c r="A33" s="1" t="s">
        <v>72</v>
      </c>
      <c r="B33" s="1" t="s">
        <v>73</v>
      </c>
      <c r="C33" s="1" t="b">
        <v>1</v>
      </c>
      <c r="D33" s="1" t="b">
        <v>1</v>
      </c>
      <c r="E33" s="1" t="s">
        <v>74</v>
      </c>
      <c r="F33" s="1" t="s">
        <v>3</v>
      </c>
      <c r="G33" s="1" t="s">
        <v>3</v>
      </c>
      <c r="H33" s="1" t="b">
        <v>0</v>
      </c>
      <c r="I33" s="1" t="b">
        <v>0</v>
      </c>
      <c r="J33" s="1" t="b">
        <v>0</v>
      </c>
      <c r="K33" s="1" t="s">
        <v>3</v>
      </c>
      <c r="L33" s="1"/>
      <c r="M33" s="1" t="str">
        <f>IF(AND(Table1[[#This Row],[Best Practice Recommendation Light]] &lt;&gt; Table1[[#This Row],[Enabled]], Table1[[#This Row],[Best Practice Recommendation Light]] &lt;&gt; ""), "Change Default","")</f>
        <v/>
      </c>
      <c r="N33" s="1" t="b">
        <v>0</v>
      </c>
      <c r="O33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34" spans="1:15" ht="28.5" x14ac:dyDescent="0.45">
      <c r="A34" s="1" t="s">
        <v>75</v>
      </c>
      <c r="B34" s="1" t="s">
        <v>76</v>
      </c>
      <c r="C34" s="1" t="b">
        <v>0</v>
      </c>
      <c r="D34" s="1" t="b">
        <v>0</v>
      </c>
      <c r="E34" s="1" t="s">
        <v>74</v>
      </c>
      <c r="F34" s="1" t="s">
        <v>3</v>
      </c>
      <c r="G34" s="1" t="s">
        <v>3</v>
      </c>
      <c r="H34" s="1" t="b">
        <v>0</v>
      </c>
      <c r="I34" s="1" t="b">
        <v>0</v>
      </c>
      <c r="J34" s="1" t="b">
        <v>0</v>
      </c>
      <c r="K34" s="1" t="s">
        <v>3</v>
      </c>
      <c r="L34" s="1" t="b">
        <v>1</v>
      </c>
      <c r="M34" s="1" t="str">
        <f>IF(AND(Table1[[#This Row],[Best Practice Recommendation Light]] &lt;&gt; Table1[[#This Row],[Enabled]], Table1[[#This Row],[Best Practice Recommendation Light]] &lt;&gt; ""), "Change Default","")</f>
        <v>Change Default</v>
      </c>
      <c r="N34" s="1" t="b">
        <v>1</v>
      </c>
      <c r="O34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35" spans="1:15" ht="28.5" x14ac:dyDescent="0.45">
      <c r="A35" s="1" t="s">
        <v>77</v>
      </c>
      <c r="B35" s="1" t="s">
        <v>78</v>
      </c>
      <c r="C35" s="1" t="b">
        <v>0</v>
      </c>
      <c r="D35" s="1" t="b">
        <v>1</v>
      </c>
      <c r="E35" s="1" t="s">
        <v>74</v>
      </c>
      <c r="F35" s="1" t="s">
        <v>3</v>
      </c>
      <c r="G35" s="1" t="s">
        <v>3</v>
      </c>
      <c r="H35" s="1" t="b">
        <v>0</v>
      </c>
      <c r="I35" s="1" t="b">
        <v>0</v>
      </c>
      <c r="J35" s="1" t="b">
        <v>0</v>
      </c>
      <c r="K35" s="1" t="s">
        <v>3</v>
      </c>
      <c r="L35" s="1" t="b">
        <v>0</v>
      </c>
      <c r="M35" s="1" t="str">
        <f>IF(AND(Table1[[#This Row],[Best Practice Recommendation Light]] &lt;&gt; Table1[[#This Row],[Enabled]], Table1[[#This Row],[Best Practice Recommendation Light]] &lt;&gt; ""), "Change Default","")</f>
        <v/>
      </c>
      <c r="N35" s="1" t="b">
        <v>0</v>
      </c>
      <c r="O35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36" spans="1:15" ht="28.5" x14ac:dyDescent="0.45">
      <c r="A36" s="1" t="s">
        <v>79</v>
      </c>
      <c r="B36" s="1" t="s">
        <v>80</v>
      </c>
      <c r="C36" s="1" t="b">
        <v>0</v>
      </c>
      <c r="D36" s="1" t="b">
        <v>1</v>
      </c>
      <c r="E36" s="1" t="s">
        <v>74</v>
      </c>
      <c r="F36" s="1" t="s">
        <v>3</v>
      </c>
      <c r="G36" s="1" t="s">
        <v>3</v>
      </c>
      <c r="H36" s="1" t="b">
        <v>0</v>
      </c>
      <c r="I36" s="1" t="b">
        <v>0</v>
      </c>
      <c r="J36" s="1" t="b">
        <v>0</v>
      </c>
      <c r="K36" s="1" t="s">
        <v>3</v>
      </c>
      <c r="L36" s="1" t="b">
        <v>0</v>
      </c>
      <c r="M36" s="1" t="str">
        <f>IF(AND(Table1[[#This Row],[Best Practice Recommendation Light]] &lt;&gt; Table1[[#This Row],[Enabled]], Table1[[#This Row],[Best Practice Recommendation Light]] &lt;&gt; ""), "Change Default","")</f>
        <v/>
      </c>
      <c r="N36" s="1" t="b">
        <v>0</v>
      </c>
      <c r="O36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37" spans="1:15" ht="28.5" x14ac:dyDescent="0.45">
      <c r="A37" s="1" t="s">
        <v>81</v>
      </c>
      <c r="B37" s="1" t="s">
        <v>82</v>
      </c>
      <c r="C37" s="1" t="b">
        <v>1</v>
      </c>
      <c r="D37" s="1" t="b">
        <v>1</v>
      </c>
      <c r="E37" s="1" t="s">
        <v>74</v>
      </c>
      <c r="F37" s="1" t="s">
        <v>3</v>
      </c>
      <c r="G37" s="1" t="s">
        <v>3</v>
      </c>
      <c r="H37" s="1" t="b">
        <v>0</v>
      </c>
      <c r="I37" s="1" t="b">
        <v>0</v>
      </c>
      <c r="J37" s="1" t="b">
        <v>0</v>
      </c>
      <c r="K37" s="1" t="s">
        <v>3</v>
      </c>
      <c r="L37" s="1"/>
      <c r="M37" s="1" t="str">
        <f>IF(AND(Table1[[#This Row],[Best Practice Recommendation Light]] &lt;&gt; Table1[[#This Row],[Enabled]], Table1[[#This Row],[Best Practice Recommendation Light]] &lt;&gt; ""), "Change Default","")</f>
        <v/>
      </c>
      <c r="N37" s="1" t="b">
        <v>0</v>
      </c>
      <c r="O37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38" spans="1:15" ht="28.5" x14ac:dyDescent="0.45">
      <c r="A38" s="1" t="s">
        <v>83</v>
      </c>
      <c r="B38" s="1" t="s">
        <v>84</v>
      </c>
      <c r="C38" s="1" t="b">
        <v>0</v>
      </c>
      <c r="D38" s="1" t="b">
        <v>1</v>
      </c>
      <c r="E38" s="1" t="s">
        <v>85</v>
      </c>
      <c r="F38" s="1" t="s">
        <v>3</v>
      </c>
      <c r="G38" s="1" t="s">
        <v>3</v>
      </c>
      <c r="H38" s="1" t="b">
        <v>0</v>
      </c>
      <c r="I38" s="1" t="b">
        <v>0</v>
      </c>
      <c r="J38" s="1" t="b">
        <v>0</v>
      </c>
      <c r="K38" s="1" t="s">
        <v>3</v>
      </c>
      <c r="L38" s="1"/>
      <c r="M38" s="1" t="str">
        <f>IF(AND(Table1[[#This Row],[Best Practice Recommendation Light]] &lt;&gt; Table1[[#This Row],[Enabled]], Table1[[#This Row],[Best Practice Recommendation Light]] &lt;&gt; ""), "Change Default","")</f>
        <v/>
      </c>
      <c r="N38" s="1" t="b">
        <v>0</v>
      </c>
      <c r="O38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39" spans="1:15" ht="42.75" x14ac:dyDescent="0.45">
      <c r="A39" s="1" t="s">
        <v>86</v>
      </c>
      <c r="B39" s="1" t="s">
        <v>87</v>
      </c>
      <c r="C39" s="1" t="b">
        <v>1</v>
      </c>
      <c r="D39" s="1" t="b">
        <v>0</v>
      </c>
      <c r="E39" s="1" t="s">
        <v>88</v>
      </c>
      <c r="F39" s="1" t="s">
        <v>3</v>
      </c>
      <c r="G39" s="1" t="s">
        <v>3</v>
      </c>
      <c r="H39" s="1" t="b">
        <v>0</v>
      </c>
      <c r="I39" s="1" t="b">
        <v>0</v>
      </c>
      <c r="J39" s="1" t="b">
        <v>0</v>
      </c>
      <c r="K39" s="1" t="s">
        <v>3</v>
      </c>
      <c r="L39" s="1"/>
      <c r="M39" s="1" t="str">
        <f>IF(AND(Table1[[#This Row],[Best Practice Recommendation Light]] &lt;&gt; Table1[[#This Row],[Enabled]], Table1[[#This Row],[Best Practice Recommendation Light]] &lt;&gt; ""), "Change Default","")</f>
        <v/>
      </c>
      <c r="N39" s="1" t="b">
        <v>0</v>
      </c>
      <c r="O39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40" spans="1:15" ht="42.75" x14ac:dyDescent="0.45">
      <c r="A40" s="1" t="s">
        <v>89</v>
      </c>
      <c r="B40" s="1" t="s">
        <v>90</v>
      </c>
      <c r="C40" s="1" t="b">
        <v>1</v>
      </c>
      <c r="D40" s="1" t="b">
        <v>0</v>
      </c>
      <c r="E40" s="1" t="s">
        <v>91</v>
      </c>
      <c r="F40" s="1" t="s">
        <v>3</v>
      </c>
      <c r="G40" s="1" t="s">
        <v>3</v>
      </c>
      <c r="H40" s="1" t="b">
        <v>0</v>
      </c>
      <c r="I40" s="1" t="b">
        <v>0</v>
      </c>
      <c r="J40" s="1" t="b">
        <v>0</v>
      </c>
      <c r="K40" s="1" t="s">
        <v>3</v>
      </c>
      <c r="L40" s="1"/>
      <c r="M40" s="1" t="str">
        <f>IF(AND(Table1[[#This Row],[Best Practice Recommendation Light]] &lt;&gt; Table1[[#This Row],[Enabled]], Table1[[#This Row],[Best Practice Recommendation Light]] &lt;&gt; ""), "Change Default","")</f>
        <v/>
      </c>
      <c r="N40" s="1"/>
      <c r="O40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41" spans="1:15" ht="28.5" x14ac:dyDescent="0.45">
      <c r="A41" s="1" t="s">
        <v>92</v>
      </c>
      <c r="B41" s="1" t="s">
        <v>93</v>
      </c>
      <c r="C41" s="1" t="b">
        <v>1</v>
      </c>
      <c r="D41" s="1" t="b">
        <v>1</v>
      </c>
      <c r="E41" s="1" t="s">
        <v>94</v>
      </c>
      <c r="F41" s="1" t="s">
        <v>3</v>
      </c>
      <c r="G41" s="1" t="s">
        <v>3</v>
      </c>
      <c r="H41" s="1" t="b">
        <v>0</v>
      </c>
      <c r="I41" s="1" t="b">
        <v>0</v>
      </c>
      <c r="J41" s="1" t="b">
        <v>0</v>
      </c>
      <c r="K41" s="1" t="s">
        <v>3</v>
      </c>
      <c r="L41" s="1" t="b">
        <v>0</v>
      </c>
      <c r="M41" s="1" t="str">
        <f>IF(AND(Table1[[#This Row],[Best Practice Recommendation Light]] &lt;&gt; Table1[[#This Row],[Enabled]], Table1[[#This Row],[Best Practice Recommendation Light]] &lt;&gt; ""), "Change Default","")</f>
        <v>Change Default</v>
      </c>
      <c r="N41" s="1" t="b">
        <v>0</v>
      </c>
      <c r="O41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42" spans="1:15" ht="42.75" x14ac:dyDescent="0.45">
      <c r="A42" s="1" t="s">
        <v>95</v>
      </c>
      <c r="B42" s="1" t="s">
        <v>96</v>
      </c>
      <c r="C42" s="1" t="b">
        <v>1</v>
      </c>
      <c r="D42" s="1" t="b">
        <v>1</v>
      </c>
      <c r="E42" s="1" t="s">
        <v>97</v>
      </c>
      <c r="F42" s="1" t="s">
        <v>3</v>
      </c>
      <c r="G42" s="1" t="s">
        <v>3</v>
      </c>
      <c r="H42" s="1" t="b">
        <v>0</v>
      </c>
      <c r="I42" s="1" t="b">
        <v>0</v>
      </c>
      <c r="J42" s="1" t="b">
        <v>0</v>
      </c>
      <c r="K42" s="1" t="s">
        <v>3</v>
      </c>
      <c r="L42" s="1"/>
      <c r="M42" s="1" t="str">
        <f>IF(AND(Table1[[#This Row],[Best Practice Recommendation Light]] &lt;&gt; Table1[[#This Row],[Enabled]], Table1[[#This Row],[Best Practice Recommendation Light]] &lt;&gt; ""), "Change Default","")</f>
        <v/>
      </c>
      <c r="N42" s="1"/>
      <c r="O42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43" spans="1:15" ht="42.75" x14ac:dyDescent="0.45">
      <c r="A43" s="1" t="s">
        <v>98</v>
      </c>
      <c r="B43" s="1" t="s">
        <v>99</v>
      </c>
      <c r="C43" s="1" t="b">
        <v>0</v>
      </c>
      <c r="D43" s="1" t="b">
        <v>0</v>
      </c>
      <c r="E43" s="1" t="s">
        <v>100</v>
      </c>
      <c r="F43" s="1" t="s">
        <v>3</v>
      </c>
      <c r="G43" s="1" t="s">
        <v>3</v>
      </c>
      <c r="H43" s="1" t="b">
        <v>0</v>
      </c>
      <c r="I43" s="1" t="b">
        <v>0</v>
      </c>
      <c r="J43" s="1" t="b">
        <v>0</v>
      </c>
      <c r="K43" s="1" t="s">
        <v>3</v>
      </c>
      <c r="L43" s="1"/>
      <c r="M43" s="1" t="str">
        <f>IF(AND(Table1[[#This Row],[Best Practice Recommendation Light]] &lt;&gt; Table1[[#This Row],[Enabled]], Table1[[#This Row],[Best Practice Recommendation Light]] &lt;&gt; ""), "Change Default","")</f>
        <v/>
      </c>
      <c r="N43" s="1"/>
      <c r="O43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44" spans="1:15" ht="28.5" x14ac:dyDescent="0.45">
      <c r="A44" s="1" t="s">
        <v>101</v>
      </c>
      <c r="B44" s="1" t="s">
        <v>102</v>
      </c>
      <c r="C44" s="1" t="b">
        <v>1</v>
      </c>
      <c r="D44" s="1" t="b">
        <v>1</v>
      </c>
      <c r="E44" s="1" t="s">
        <v>103</v>
      </c>
      <c r="F44" s="1" t="s">
        <v>3</v>
      </c>
      <c r="G44" s="1" t="s">
        <v>3</v>
      </c>
      <c r="H44" s="1" t="b">
        <v>0</v>
      </c>
      <c r="I44" s="1" t="b">
        <v>0</v>
      </c>
      <c r="J44" s="1" t="b">
        <v>0</v>
      </c>
      <c r="K44" s="1" t="s">
        <v>3</v>
      </c>
      <c r="L44" s="1"/>
      <c r="M44" s="1" t="str">
        <f>IF(AND(Table1[[#This Row],[Best Practice Recommendation Light]] &lt;&gt; Table1[[#This Row],[Enabled]], Table1[[#This Row],[Best Practice Recommendation Light]] &lt;&gt; ""), "Change Default","")</f>
        <v/>
      </c>
      <c r="N44" s="1" t="b">
        <v>0</v>
      </c>
      <c r="O44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45" spans="1:15" ht="28.5" x14ac:dyDescent="0.45">
      <c r="A45" s="1" t="s">
        <v>104</v>
      </c>
      <c r="B45" s="1" t="s">
        <v>105</v>
      </c>
      <c r="C45" s="1" t="b">
        <v>1</v>
      </c>
      <c r="D45" s="1" t="b">
        <v>1</v>
      </c>
      <c r="E45" s="1" t="s">
        <v>103</v>
      </c>
      <c r="F45" s="1" t="s">
        <v>3</v>
      </c>
      <c r="G45" s="1" t="s">
        <v>3</v>
      </c>
      <c r="H45" s="1" t="b">
        <v>0</v>
      </c>
      <c r="I45" s="1" t="b">
        <v>0</v>
      </c>
      <c r="J45" s="1" t="b">
        <v>0</v>
      </c>
      <c r="K45" s="1" t="s">
        <v>3</v>
      </c>
      <c r="L45" s="1"/>
      <c r="M45" s="1" t="str">
        <f>IF(AND(Table1[[#This Row],[Best Practice Recommendation Light]] &lt;&gt; Table1[[#This Row],[Enabled]], Table1[[#This Row],[Best Practice Recommendation Light]] &lt;&gt; ""), "Change Default","")</f>
        <v/>
      </c>
      <c r="N45" s="1" t="b">
        <v>1</v>
      </c>
      <c r="O45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46" spans="1:15" ht="28.5" x14ac:dyDescent="0.45">
      <c r="A46" s="1" t="s">
        <v>106</v>
      </c>
      <c r="B46" s="1" t="s">
        <v>107</v>
      </c>
      <c r="C46" s="1" t="b">
        <v>1</v>
      </c>
      <c r="D46" s="1" t="b">
        <v>1</v>
      </c>
      <c r="E46" s="1" t="s">
        <v>103</v>
      </c>
      <c r="F46" s="1" t="s">
        <v>3</v>
      </c>
      <c r="G46" s="1" t="s">
        <v>3</v>
      </c>
      <c r="H46" s="1" t="b">
        <v>0</v>
      </c>
      <c r="I46" s="1" t="b">
        <v>0</v>
      </c>
      <c r="J46" s="1" t="b">
        <v>0</v>
      </c>
      <c r="K46" s="1" t="s">
        <v>3</v>
      </c>
      <c r="L46" s="1"/>
      <c r="M46" s="1" t="str">
        <f>IF(AND(Table1[[#This Row],[Best Practice Recommendation Light]] &lt;&gt; Table1[[#This Row],[Enabled]], Table1[[#This Row],[Best Practice Recommendation Light]] &lt;&gt; ""), "Change Default","")</f>
        <v/>
      </c>
      <c r="N46" s="1" t="b">
        <v>1</v>
      </c>
      <c r="O46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47" spans="1:15" ht="28.5" x14ac:dyDescent="0.45">
      <c r="A47" s="1" t="s">
        <v>108</v>
      </c>
      <c r="B47" s="1" t="s">
        <v>109</v>
      </c>
      <c r="C47" s="1" t="b">
        <v>0</v>
      </c>
      <c r="D47" s="1" t="b">
        <v>1</v>
      </c>
      <c r="E47" s="1" t="s">
        <v>103</v>
      </c>
      <c r="F47" s="1" t="s">
        <v>3</v>
      </c>
      <c r="G47" s="1" t="s">
        <v>3</v>
      </c>
      <c r="H47" s="1" t="b">
        <v>0</v>
      </c>
      <c r="I47" s="1" t="b">
        <v>0</v>
      </c>
      <c r="J47" s="1" t="b">
        <v>0</v>
      </c>
      <c r="K47" s="1" t="s">
        <v>3</v>
      </c>
      <c r="L47" s="1"/>
      <c r="M47" s="1" t="str">
        <f>IF(AND(Table1[[#This Row],[Best Practice Recommendation Light]] &lt;&gt; Table1[[#This Row],[Enabled]], Table1[[#This Row],[Best Practice Recommendation Light]] &lt;&gt; ""), "Change Default","")</f>
        <v/>
      </c>
      <c r="N47" s="1" t="b">
        <v>1</v>
      </c>
      <c r="O47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48" spans="1:15" ht="28.5" x14ac:dyDescent="0.45">
      <c r="A48" s="1" t="s">
        <v>110</v>
      </c>
      <c r="B48" s="1" t="s">
        <v>111</v>
      </c>
      <c r="C48" s="1" t="b">
        <v>0</v>
      </c>
      <c r="D48" s="1" t="b">
        <v>0</v>
      </c>
      <c r="E48" s="1" t="s">
        <v>103</v>
      </c>
      <c r="F48" s="1" t="s">
        <v>3</v>
      </c>
      <c r="G48" s="1" t="s">
        <v>3</v>
      </c>
      <c r="H48" s="1" t="b">
        <v>0</v>
      </c>
      <c r="I48" s="1" t="b">
        <v>0</v>
      </c>
      <c r="J48" s="1" t="b">
        <v>0</v>
      </c>
      <c r="K48" s="1" t="s">
        <v>3</v>
      </c>
      <c r="L48" s="1"/>
      <c r="M48" s="1" t="str">
        <f>IF(AND(Table1[[#This Row],[Best Practice Recommendation Light]] &lt;&gt; Table1[[#This Row],[Enabled]], Table1[[#This Row],[Best Practice Recommendation Light]] &lt;&gt; ""), "Change Default","")</f>
        <v/>
      </c>
      <c r="N48" s="1" t="b">
        <v>1</v>
      </c>
      <c r="O48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49" spans="1:15" ht="71.25" x14ac:dyDescent="0.45">
      <c r="A49" s="1" t="s">
        <v>112</v>
      </c>
      <c r="B49" s="1" t="s">
        <v>113</v>
      </c>
      <c r="C49" s="1" t="b">
        <v>0</v>
      </c>
      <c r="D49" s="1" t="b">
        <v>0</v>
      </c>
      <c r="E49" s="1" t="s">
        <v>103</v>
      </c>
      <c r="F49" s="1" t="s">
        <v>3</v>
      </c>
      <c r="G49" s="1" t="s">
        <v>3</v>
      </c>
      <c r="H49" s="1" t="b">
        <v>0</v>
      </c>
      <c r="I49" s="1" t="b">
        <v>0</v>
      </c>
      <c r="J49" s="1" t="b">
        <v>0</v>
      </c>
      <c r="K49" s="1" t="s">
        <v>114</v>
      </c>
      <c r="L49" s="1"/>
      <c r="M49" s="1" t="str">
        <f>IF(AND(Table1[[#This Row],[Best Practice Recommendation Light]] &lt;&gt; Table1[[#This Row],[Enabled]], Table1[[#This Row],[Best Practice Recommendation Light]] &lt;&gt; ""), "Change Default","")</f>
        <v/>
      </c>
      <c r="N49" s="1" t="b">
        <v>1</v>
      </c>
      <c r="O49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50" spans="1:15" ht="28.5" x14ac:dyDescent="0.45">
      <c r="A50" s="1" t="s">
        <v>115</v>
      </c>
      <c r="B50" s="1" t="s">
        <v>116</v>
      </c>
      <c r="C50" s="1" t="b">
        <v>1</v>
      </c>
      <c r="D50" s="1" t="b">
        <v>1</v>
      </c>
      <c r="E50" s="1" t="s">
        <v>117</v>
      </c>
      <c r="F50" s="1" t="s">
        <v>3</v>
      </c>
      <c r="G50" s="1" t="s">
        <v>3</v>
      </c>
      <c r="H50" s="1" t="b">
        <v>0</v>
      </c>
      <c r="I50" s="1" t="b">
        <v>0</v>
      </c>
      <c r="J50" s="1" t="b">
        <v>0</v>
      </c>
      <c r="K50" s="1" t="s">
        <v>3</v>
      </c>
      <c r="L50" s="1"/>
      <c r="M50" s="1" t="str">
        <f>IF(AND(Table1[[#This Row],[Best Practice Recommendation Light]] &lt;&gt; Table1[[#This Row],[Enabled]], Table1[[#This Row],[Best Practice Recommendation Light]] &lt;&gt; ""), "Change Default","")</f>
        <v/>
      </c>
      <c r="N50" s="1" t="b">
        <v>1</v>
      </c>
      <c r="O50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51" spans="1:15" ht="28.5" x14ac:dyDescent="0.45">
      <c r="A51" s="1" t="s">
        <v>118</v>
      </c>
      <c r="B51" s="1" t="s">
        <v>119</v>
      </c>
      <c r="C51" s="1" t="b">
        <v>1</v>
      </c>
      <c r="D51" s="1" t="b">
        <v>1</v>
      </c>
      <c r="E51" s="1" t="s">
        <v>117</v>
      </c>
      <c r="F51" s="1" t="s">
        <v>3</v>
      </c>
      <c r="G51" s="1" t="s">
        <v>3</v>
      </c>
      <c r="H51" s="1" t="b">
        <v>0</v>
      </c>
      <c r="I51" s="1" t="b">
        <v>0</v>
      </c>
      <c r="J51" s="1" t="b">
        <v>0</v>
      </c>
      <c r="K51" s="1" t="s">
        <v>3</v>
      </c>
      <c r="L51" s="1"/>
      <c r="M51" s="1" t="str">
        <f>IF(AND(Table1[[#This Row],[Best Practice Recommendation Light]] &lt;&gt; Table1[[#This Row],[Enabled]], Table1[[#This Row],[Best Practice Recommendation Light]] &lt;&gt; ""), "Change Default","")</f>
        <v/>
      </c>
      <c r="N51" s="1" t="b">
        <v>1</v>
      </c>
      <c r="O51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52" spans="1:15" ht="28.5" x14ac:dyDescent="0.45">
      <c r="A52" s="1" t="s">
        <v>120</v>
      </c>
      <c r="B52" s="1" t="s">
        <v>121</v>
      </c>
      <c r="C52" s="1" t="b">
        <v>1</v>
      </c>
      <c r="D52" s="1" t="b">
        <v>1</v>
      </c>
      <c r="E52" s="1" t="s">
        <v>117</v>
      </c>
      <c r="F52" s="1" t="s">
        <v>3</v>
      </c>
      <c r="G52" s="1" t="s">
        <v>3</v>
      </c>
      <c r="H52" s="1" t="b">
        <v>0</v>
      </c>
      <c r="I52" s="1" t="b">
        <v>0</v>
      </c>
      <c r="J52" s="1" t="b">
        <v>0</v>
      </c>
      <c r="K52" s="1" t="s">
        <v>3</v>
      </c>
      <c r="L52" s="1" t="b">
        <v>1</v>
      </c>
      <c r="M52" s="1" t="str">
        <f>IF(AND(Table1[[#This Row],[Best Practice Recommendation Light]] &lt;&gt; Table1[[#This Row],[Enabled]], Table1[[#This Row],[Best Practice Recommendation Light]] &lt;&gt; ""), "Change Default","")</f>
        <v/>
      </c>
      <c r="N52" s="1" t="b">
        <v>1</v>
      </c>
      <c r="O52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53" spans="1:15" ht="28.5" x14ac:dyDescent="0.45">
      <c r="A53" s="1" t="s">
        <v>122</v>
      </c>
      <c r="B53" s="1" t="s">
        <v>123</v>
      </c>
      <c r="C53" s="1" t="b">
        <v>0</v>
      </c>
      <c r="D53" s="1" t="b">
        <v>0</v>
      </c>
      <c r="E53" s="1" t="s">
        <v>124</v>
      </c>
      <c r="F53" s="1" t="s">
        <v>3</v>
      </c>
      <c r="G53" s="1" t="s">
        <v>3</v>
      </c>
      <c r="H53" s="1" t="b">
        <v>0</v>
      </c>
      <c r="I53" s="1" t="b">
        <v>0</v>
      </c>
      <c r="J53" s="1" t="b">
        <v>0</v>
      </c>
      <c r="K53" s="1" t="s">
        <v>3</v>
      </c>
      <c r="L53" s="1"/>
      <c r="M53" s="1" t="str">
        <f>IF(AND(Table1[[#This Row],[Best Practice Recommendation Light]] &lt;&gt; Table1[[#This Row],[Enabled]], Table1[[#This Row],[Best Practice Recommendation Light]] &lt;&gt; ""), "Change Default","")</f>
        <v/>
      </c>
      <c r="N53" s="1" t="b">
        <v>1</v>
      </c>
      <c r="O53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54" spans="1:15" ht="42.75" x14ac:dyDescent="0.45">
      <c r="A54" s="1" t="s">
        <v>125</v>
      </c>
      <c r="B54" s="1" t="s">
        <v>126</v>
      </c>
      <c r="C54" s="1" t="b">
        <v>0</v>
      </c>
      <c r="D54" s="1" t="b">
        <v>1</v>
      </c>
      <c r="E54" s="1" t="s">
        <v>127</v>
      </c>
      <c r="F54" s="1" t="s">
        <v>3</v>
      </c>
      <c r="G54" s="1" t="s">
        <v>3</v>
      </c>
      <c r="H54" s="1" t="b">
        <v>0</v>
      </c>
      <c r="I54" s="1" t="b">
        <v>0</v>
      </c>
      <c r="J54" s="1" t="b">
        <v>0</v>
      </c>
      <c r="K54" s="1" t="s">
        <v>3</v>
      </c>
      <c r="L54" s="1" t="b">
        <v>0</v>
      </c>
      <c r="M54" s="1" t="str">
        <f>IF(AND(Table1[[#This Row],[Best Practice Recommendation Light]] &lt;&gt; Table1[[#This Row],[Enabled]], Table1[[#This Row],[Best Practice Recommendation Light]] &lt;&gt; ""), "Change Default","")</f>
        <v/>
      </c>
      <c r="N54" s="1" t="b">
        <v>0</v>
      </c>
      <c r="O54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55" spans="1:15" ht="42.75" x14ac:dyDescent="0.45">
      <c r="A55" s="1" t="s">
        <v>128</v>
      </c>
      <c r="B55" s="1" t="s">
        <v>129</v>
      </c>
      <c r="C55" s="1" t="b">
        <v>0</v>
      </c>
      <c r="D55" s="1" t="b">
        <v>1</v>
      </c>
      <c r="E55" s="1" t="s">
        <v>127</v>
      </c>
      <c r="F55" s="1" t="s">
        <v>3</v>
      </c>
      <c r="G55" s="1" t="s">
        <v>3</v>
      </c>
      <c r="H55" s="1" t="b">
        <v>0</v>
      </c>
      <c r="I55" s="1" t="b">
        <v>0</v>
      </c>
      <c r="J55" s="1" t="b">
        <v>0</v>
      </c>
      <c r="K55" s="1" t="s">
        <v>3</v>
      </c>
      <c r="L55" s="1" t="b">
        <v>0</v>
      </c>
      <c r="M55" s="1" t="str">
        <f>IF(AND(Table1[[#This Row],[Best Practice Recommendation Light]] &lt;&gt; Table1[[#This Row],[Enabled]], Table1[[#This Row],[Best Practice Recommendation Light]] &lt;&gt; ""), "Change Default","")</f>
        <v/>
      </c>
      <c r="N55" s="1" t="b">
        <v>0</v>
      </c>
      <c r="O55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56" spans="1:15" ht="42.75" x14ac:dyDescent="0.45">
      <c r="A56" s="1" t="s">
        <v>130</v>
      </c>
      <c r="B56" s="1" t="s">
        <v>131</v>
      </c>
      <c r="C56" s="1" t="b">
        <v>1</v>
      </c>
      <c r="D56" s="1" t="b">
        <v>1</v>
      </c>
      <c r="E56" s="1" t="s">
        <v>127</v>
      </c>
      <c r="F56" s="1" t="s">
        <v>3</v>
      </c>
      <c r="G56" s="1" t="s">
        <v>3</v>
      </c>
      <c r="H56" s="1" t="b">
        <v>0</v>
      </c>
      <c r="I56" s="1" t="b">
        <v>0</v>
      </c>
      <c r="J56" s="1" t="b">
        <v>0</v>
      </c>
      <c r="K56" s="1" t="s">
        <v>3</v>
      </c>
      <c r="L56" s="1"/>
      <c r="M56" s="1" t="str">
        <f>IF(AND(Table1[[#This Row],[Best Practice Recommendation Light]] &lt;&gt; Table1[[#This Row],[Enabled]], Table1[[#This Row],[Best Practice Recommendation Light]] &lt;&gt; ""), "Change Default","")</f>
        <v/>
      </c>
      <c r="N56" s="1" t="b">
        <v>0</v>
      </c>
      <c r="O56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57" spans="1:15" ht="42.75" x14ac:dyDescent="0.45">
      <c r="A57" s="1" t="s">
        <v>132</v>
      </c>
      <c r="B57" s="1" t="s">
        <v>133</v>
      </c>
      <c r="C57" s="1" t="b">
        <v>1</v>
      </c>
      <c r="D57" s="1" t="b">
        <v>1</v>
      </c>
      <c r="E57" s="1" t="s">
        <v>127</v>
      </c>
      <c r="F57" s="1" t="s">
        <v>3</v>
      </c>
      <c r="G57" s="1" t="s">
        <v>3</v>
      </c>
      <c r="H57" s="1" t="b">
        <v>0</v>
      </c>
      <c r="I57" s="1" t="b">
        <v>0</v>
      </c>
      <c r="J57" s="1" t="b">
        <v>0</v>
      </c>
      <c r="K57" s="1" t="s">
        <v>3</v>
      </c>
      <c r="L57" s="1"/>
      <c r="M57" s="1" t="str">
        <f>IF(AND(Table1[[#This Row],[Best Practice Recommendation Light]] &lt;&gt; Table1[[#This Row],[Enabled]], Table1[[#This Row],[Best Practice Recommendation Light]] &lt;&gt; ""), "Change Default","")</f>
        <v/>
      </c>
      <c r="N57" s="1" t="b">
        <v>0</v>
      </c>
      <c r="O57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58" spans="1:15" ht="42.75" x14ac:dyDescent="0.45">
      <c r="A58" s="1" t="s">
        <v>134</v>
      </c>
      <c r="B58" s="1" t="s">
        <v>135</v>
      </c>
      <c r="C58" s="1" t="b">
        <v>0</v>
      </c>
      <c r="D58" s="1" t="b">
        <v>1</v>
      </c>
      <c r="E58" s="1" t="s">
        <v>127</v>
      </c>
      <c r="F58" s="1" t="s">
        <v>3</v>
      </c>
      <c r="G58" s="1" t="s">
        <v>3</v>
      </c>
      <c r="H58" s="1" t="b">
        <v>0</v>
      </c>
      <c r="I58" s="1" t="b">
        <v>0</v>
      </c>
      <c r="J58" s="1" t="b">
        <v>0</v>
      </c>
      <c r="K58" s="1" t="s">
        <v>3</v>
      </c>
      <c r="L58" s="1"/>
      <c r="M58" s="1" t="str">
        <f>IF(AND(Table1[[#This Row],[Best Practice Recommendation Light]] &lt;&gt; Table1[[#This Row],[Enabled]], Table1[[#This Row],[Best Practice Recommendation Light]] &lt;&gt; ""), "Change Default","")</f>
        <v/>
      </c>
      <c r="N58" s="1" t="b">
        <v>0</v>
      </c>
      <c r="O58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59" spans="1:15" ht="42.75" x14ac:dyDescent="0.45">
      <c r="A59" s="1" t="s">
        <v>136</v>
      </c>
      <c r="B59" s="1" t="s">
        <v>137</v>
      </c>
      <c r="C59" s="1" t="b">
        <v>1</v>
      </c>
      <c r="D59" s="1" t="b">
        <v>1</v>
      </c>
      <c r="E59" s="1" t="s">
        <v>127</v>
      </c>
      <c r="F59" s="1" t="s">
        <v>3</v>
      </c>
      <c r="G59" s="1" t="s">
        <v>3</v>
      </c>
      <c r="H59" s="1" t="b">
        <v>0</v>
      </c>
      <c r="I59" s="1" t="b">
        <v>0</v>
      </c>
      <c r="J59" s="1" t="b">
        <v>0</v>
      </c>
      <c r="K59" s="1" t="s">
        <v>3</v>
      </c>
      <c r="L59" s="1" t="b">
        <v>1</v>
      </c>
      <c r="M59" s="1" t="str">
        <f>IF(AND(Table1[[#This Row],[Best Practice Recommendation Light]] &lt;&gt; Table1[[#This Row],[Enabled]], Table1[[#This Row],[Best Practice Recommendation Light]] &lt;&gt; ""), "Change Default","")</f>
        <v/>
      </c>
      <c r="N59" s="1" t="b">
        <v>1</v>
      </c>
      <c r="O59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60" spans="1:15" ht="71.25" x14ac:dyDescent="0.45">
      <c r="A60" s="1" t="s">
        <v>138</v>
      </c>
      <c r="B60" s="1" t="s">
        <v>139</v>
      </c>
      <c r="C60" s="1" t="b">
        <v>1</v>
      </c>
      <c r="D60" s="1" t="b">
        <v>1</v>
      </c>
      <c r="E60" s="1" t="s">
        <v>127</v>
      </c>
      <c r="F60" s="1" t="s">
        <v>3</v>
      </c>
      <c r="G60" s="1" t="s">
        <v>3</v>
      </c>
      <c r="H60" s="1" t="b">
        <v>0</v>
      </c>
      <c r="I60" s="1" t="b">
        <v>0</v>
      </c>
      <c r="J60" s="1" t="b">
        <v>0</v>
      </c>
      <c r="K60" s="1" t="s">
        <v>140</v>
      </c>
      <c r="L60" s="1" t="b">
        <v>0</v>
      </c>
      <c r="M60" s="1" t="str">
        <f>IF(AND(Table1[[#This Row],[Best Practice Recommendation Light]] &lt;&gt; Table1[[#This Row],[Enabled]], Table1[[#This Row],[Best Practice Recommendation Light]] &lt;&gt; ""), "Change Default","")</f>
        <v>Change Default</v>
      </c>
      <c r="N60" s="1" t="b">
        <v>0</v>
      </c>
      <c r="O60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61" spans="1:15" ht="42.75" x14ac:dyDescent="0.45">
      <c r="A61" s="1" t="s">
        <v>141</v>
      </c>
      <c r="B61" s="1" t="s">
        <v>142</v>
      </c>
      <c r="C61" s="1" t="b">
        <v>1</v>
      </c>
      <c r="D61" s="1" t="b">
        <v>1</v>
      </c>
      <c r="E61" s="1" t="s">
        <v>127</v>
      </c>
      <c r="F61" s="1" t="s">
        <v>3</v>
      </c>
      <c r="G61" s="1" t="s">
        <v>3</v>
      </c>
      <c r="H61" s="1" t="b">
        <v>0</v>
      </c>
      <c r="I61" s="1" t="b">
        <v>0</v>
      </c>
      <c r="J61" s="1" t="b">
        <v>0</v>
      </c>
      <c r="K61" s="1" t="s">
        <v>3</v>
      </c>
      <c r="L61" s="1"/>
      <c r="M61" s="1" t="str">
        <f>IF(AND(Table1[[#This Row],[Best Practice Recommendation Light]] &lt;&gt; Table1[[#This Row],[Enabled]], Table1[[#This Row],[Best Practice Recommendation Light]] &lt;&gt; ""), "Change Default","")</f>
        <v/>
      </c>
      <c r="N61" s="1" t="b">
        <v>0</v>
      </c>
      <c r="O61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62" spans="1:15" ht="42.75" x14ac:dyDescent="0.45">
      <c r="A62" s="1" t="s">
        <v>143</v>
      </c>
      <c r="B62" s="1" t="s">
        <v>144</v>
      </c>
      <c r="C62" s="1" t="b">
        <v>1</v>
      </c>
      <c r="D62" s="1" t="b">
        <v>1</v>
      </c>
      <c r="E62" s="1" t="s">
        <v>127</v>
      </c>
      <c r="F62" s="1" t="s">
        <v>3</v>
      </c>
      <c r="G62" s="1" t="s">
        <v>3</v>
      </c>
      <c r="H62" s="1" t="b">
        <v>0</v>
      </c>
      <c r="I62" s="1" t="b">
        <v>0</v>
      </c>
      <c r="J62" s="1" t="b">
        <v>0</v>
      </c>
      <c r="K62" s="1" t="s">
        <v>3</v>
      </c>
      <c r="L62" s="1"/>
      <c r="M62" s="1" t="str">
        <f>IF(AND(Table1[[#This Row],[Best Practice Recommendation Light]] &lt;&gt; Table1[[#This Row],[Enabled]], Table1[[#This Row],[Best Practice Recommendation Light]] &lt;&gt; ""), "Change Default","")</f>
        <v/>
      </c>
      <c r="N62" s="1" t="b">
        <v>0</v>
      </c>
      <c r="O62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63" spans="1:15" ht="42.75" x14ac:dyDescent="0.45">
      <c r="A63" s="1" t="s">
        <v>145</v>
      </c>
      <c r="B63" s="1" t="s">
        <v>146</v>
      </c>
      <c r="C63" s="1" t="b">
        <v>1</v>
      </c>
      <c r="D63" s="1" t="b">
        <v>1</v>
      </c>
      <c r="E63" s="1" t="s">
        <v>127</v>
      </c>
      <c r="F63" s="1" t="s">
        <v>3</v>
      </c>
      <c r="G63" s="1" t="s">
        <v>3</v>
      </c>
      <c r="H63" s="1" t="b">
        <v>0</v>
      </c>
      <c r="I63" s="1" t="b">
        <v>0</v>
      </c>
      <c r="J63" s="1" t="b">
        <v>0</v>
      </c>
      <c r="K63" s="1" t="s">
        <v>3</v>
      </c>
      <c r="L63" s="1"/>
      <c r="M63" s="1" t="str">
        <f>IF(AND(Table1[[#This Row],[Best Practice Recommendation Light]] &lt;&gt; Table1[[#This Row],[Enabled]], Table1[[#This Row],[Best Practice Recommendation Light]] &lt;&gt; ""), "Change Default","")</f>
        <v/>
      </c>
      <c r="N63" s="1" t="b">
        <v>0</v>
      </c>
      <c r="O63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64" spans="1:15" ht="42.75" x14ac:dyDescent="0.45">
      <c r="A64" s="1" t="s">
        <v>147</v>
      </c>
      <c r="B64" s="1" t="s">
        <v>148</v>
      </c>
      <c r="C64" s="1" t="b">
        <v>1</v>
      </c>
      <c r="D64" s="1" t="b">
        <v>1</v>
      </c>
      <c r="E64" s="1" t="s">
        <v>127</v>
      </c>
      <c r="F64" s="1" t="s">
        <v>3</v>
      </c>
      <c r="G64" s="1" t="s">
        <v>3</v>
      </c>
      <c r="H64" s="1" t="b">
        <v>0</v>
      </c>
      <c r="I64" s="1" t="b">
        <v>0</v>
      </c>
      <c r="J64" s="1" t="b">
        <v>0</v>
      </c>
      <c r="K64" s="1" t="s">
        <v>3</v>
      </c>
      <c r="L64" s="1"/>
      <c r="M64" s="1" t="str">
        <f>IF(AND(Table1[[#This Row],[Best Practice Recommendation Light]] &lt;&gt; Table1[[#This Row],[Enabled]], Table1[[#This Row],[Best Practice Recommendation Light]] &lt;&gt; ""), "Change Default","")</f>
        <v/>
      </c>
      <c r="N64" s="1" t="b">
        <v>0</v>
      </c>
      <c r="O64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65" spans="1:15" ht="42.75" x14ac:dyDescent="0.45">
      <c r="A65" s="1" t="s">
        <v>149</v>
      </c>
      <c r="B65" s="1" t="s">
        <v>150</v>
      </c>
      <c r="C65" s="1" t="b">
        <v>1</v>
      </c>
      <c r="D65" s="1" t="b">
        <v>1</v>
      </c>
      <c r="E65" s="1" t="s">
        <v>127</v>
      </c>
      <c r="F65" s="1" t="s">
        <v>3</v>
      </c>
      <c r="G65" s="1" t="s">
        <v>3</v>
      </c>
      <c r="H65" s="1" t="b">
        <v>0</v>
      </c>
      <c r="I65" s="1" t="b">
        <v>0</v>
      </c>
      <c r="J65" s="1" t="b">
        <v>0</v>
      </c>
      <c r="K65" s="1" t="s">
        <v>3</v>
      </c>
      <c r="L65" s="1"/>
      <c r="M65" s="1" t="str">
        <f>IF(AND(Table1[[#This Row],[Best Practice Recommendation Light]] &lt;&gt; Table1[[#This Row],[Enabled]], Table1[[#This Row],[Best Practice Recommendation Light]] &lt;&gt; ""), "Change Default","")</f>
        <v/>
      </c>
      <c r="N65" s="1"/>
      <c r="O65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66" spans="1:15" ht="42.75" x14ac:dyDescent="0.45">
      <c r="A66" s="1" t="s">
        <v>151</v>
      </c>
      <c r="B66" s="1" t="s">
        <v>152</v>
      </c>
      <c r="C66" s="1" t="b">
        <v>1</v>
      </c>
      <c r="D66" s="1" t="b">
        <v>1</v>
      </c>
      <c r="E66" s="1" t="s">
        <v>127</v>
      </c>
      <c r="F66" s="1" t="s">
        <v>3</v>
      </c>
      <c r="G66" s="1" t="s">
        <v>3</v>
      </c>
      <c r="H66" s="1" t="b">
        <v>0</v>
      </c>
      <c r="I66" s="1" t="b">
        <v>0</v>
      </c>
      <c r="J66" s="1" t="b">
        <v>0</v>
      </c>
      <c r="K66" s="1" t="s">
        <v>3</v>
      </c>
      <c r="L66" s="1"/>
      <c r="M66" s="1" t="str">
        <f>IF(AND(Table1[[#This Row],[Best Practice Recommendation Light]] &lt;&gt; Table1[[#This Row],[Enabled]], Table1[[#This Row],[Best Practice Recommendation Light]] &lt;&gt; ""), "Change Default","")</f>
        <v/>
      </c>
      <c r="N66" s="1" t="b">
        <v>0</v>
      </c>
      <c r="O66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67" spans="1:15" ht="42.75" x14ac:dyDescent="0.45">
      <c r="A67" s="1" t="s">
        <v>153</v>
      </c>
      <c r="B67" s="1" t="s">
        <v>154</v>
      </c>
      <c r="C67" s="1" t="b">
        <v>1</v>
      </c>
      <c r="D67" s="1" t="b">
        <v>1</v>
      </c>
      <c r="E67" s="1" t="s">
        <v>127</v>
      </c>
      <c r="F67" s="1" t="s">
        <v>3</v>
      </c>
      <c r="G67" s="1" t="s">
        <v>3</v>
      </c>
      <c r="H67" s="1" t="b">
        <v>0</v>
      </c>
      <c r="I67" s="1" t="b">
        <v>0</v>
      </c>
      <c r="J67" s="1" t="b">
        <v>0</v>
      </c>
      <c r="K67" s="1" t="s">
        <v>3</v>
      </c>
      <c r="L67" s="1"/>
      <c r="M67" s="1" t="str">
        <f>IF(AND(Table1[[#This Row],[Best Practice Recommendation Light]] &lt;&gt; Table1[[#This Row],[Enabled]], Table1[[#This Row],[Best Practice Recommendation Light]] &lt;&gt; ""), "Change Default","")</f>
        <v/>
      </c>
      <c r="N67" s="1" t="b">
        <v>0</v>
      </c>
      <c r="O67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68" spans="1:15" ht="42.75" x14ac:dyDescent="0.45">
      <c r="A68" s="1" t="s">
        <v>155</v>
      </c>
      <c r="B68" s="1" t="s">
        <v>156</v>
      </c>
      <c r="C68" s="1" t="b">
        <v>1</v>
      </c>
      <c r="D68" s="1" t="b">
        <v>1</v>
      </c>
      <c r="E68" s="1" t="s">
        <v>127</v>
      </c>
      <c r="F68" s="1" t="s">
        <v>3</v>
      </c>
      <c r="G68" s="1" t="s">
        <v>3</v>
      </c>
      <c r="H68" s="1" t="b">
        <v>0</v>
      </c>
      <c r="I68" s="1" t="b">
        <v>0</v>
      </c>
      <c r="J68" s="1" t="b">
        <v>0</v>
      </c>
      <c r="K68" s="1" t="s">
        <v>3</v>
      </c>
      <c r="L68" s="1"/>
      <c r="M68" s="1" t="str">
        <f>IF(AND(Table1[[#This Row],[Best Practice Recommendation Light]] &lt;&gt; Table1[[#This Row],[Enabled]], Table1[[#This Row],[Best Practice Recommendation Light]] &lt;&gt; ""), "Change Default","")</f>
        <v/>
      </c>
      <c r="N68" s="1" t="b">
        <v>0</v>
      </c>
      <c r="O68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69" spans="1:15" ht="42.75" x14ac:dyDescent="0.45">
      <c r="A69" s="1" t="s">
        <v>157</v>
      </c>
      <c r="B69" s="1" t="s">
        <v>158</v>
      </c>
      <c r="C69" s="1" t="b">
        <v>1</v>
      </c>
      <c r="D69" s="1" t="b">
        <v>1</v>
      </c>
      <c r="E69" s="1" t="s">
        <v>127</v>
      </c>
      <c r="F69" s="1" t="s">
        <v>3</v>
      </c>
      <c r="G69" s="1" t="s">
        <v>3</v>
      </c>
      <c r="H69" s="1" t="b">
        <v>0</v>
      </c>
      <c r="I69" s="1" t="b">
        <v>0</v>
      </c>
      <c r="J69" s="1" t="b">
        <v>0</v>
      </c>
      <c r="K69" s="1" t="s">
        <v>3</v>
      </c>
      <c r="L69" s="1"/>
      <c r="M69" s="1" t="str">
        <f>IF(AND(Table1[[#This Row],[Best Practice Recommendation Light]] &lt;&gt; Table1[[#This Row],[Enabled]], Table1[[#This Row],[Best Practice Recommendation Light]] &lt;&gt; ""), "Change Default","")</f>
        <v/>
      </c>
      <c r="N69" s="1" t="b">
        <v>0</v>
      </c>
      <c r="O69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70" spans="1:15" ht="42.75" x14ac:dyDescent="0.45">
      <c r="A70" s="1" t="s">
        <v>159</v>
      </c>
      <c r="B70" s="1" t="s">
        <v>160</v>
      </c>
      <c r="C70" s="1" t="b">
        <v>0</v>
      </c>
      <c r="D70" s="1" t="b">
        <v>1</v>
      </c>
      <c r="E70" s="1" t="s">
        <v>127</v>
      </c>
      <c r="F70" s="1" t="s">
        <v>3</v>
      </c>
      <c r="G70" s="1" t="s">
        <v>3</v>
      </c>
      <c r="H70" s="1" t="b">
        <v>0</v>
      </c>
      <c r="I70" s="1" t="b">
        <v>0</v>
      </c>
      <c r="J70" s="1" t="b">
        <v>0</v>
      </c>
      <c r="K70" s="1" t="s">
        <v>3</v>
      </c>
      <c r="L70" s="1"/>
      <c r="M70" s="1" t="str">
        <f>IF(AND(Table1[[#This Row],[Best Practice Recommendation Light]] &lt;&gt; Table1[[#This Row],[Enabled]], Table1[[#This Row],[Best Practice Recommendation Light]] &lt;&gt; ""), "Change Default","")</f>
        <v/>
      </c>
      <c r="N70" s="1" t="b">
        <v>0</v>
      </c>
      <c r="O70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71" spans="1:15" ht="42.75" x14ac:dyDescent="0.45">
      <c r="A71" s="1" t="s">
        <v>161</v>
      </c>
      <c r="B71" s="1" t="s">
        <v>162</v>
      </c>
      <c r="C71" s="1" t="b">
        <v>1</v>
      </c>
      <c r="D71" s="1" t="b">
        <v>1</v>
      </c>
      <c r="E71" s="1" t="s">
        <v>127</v>
      </c>
      <c r="F71" s="1" t="s">
        <v>3</v>
      </c>
      <c r="G71" s="1" t="s">
        <v>3</v>
      </c>
      <c r="H71" s="1" t="b">
        <v>0</v>
      </c>
      <c r="I71" s="1" t="b">
        <v>0</v>
      </c>
      <c r="J71" s="1" t="b">
        <v>0</v>
      </c>
      <c r="K71" s="1" t="s">
        <v>3</v>
      </c>
      <c r="L71" s="1"/>
      <c r="M71" s="1" t="str">
        <f>IF(AND(Table1[[#This Row],[Best Practice Recommendation Light]] &lt;&gt; Table1[[#This Row],[Enabled]], Table1[[#This Row],[Best Practice Recommendation Light]] &lt;&gt; ""), "Change Default","")</f>
        <v/>
      </c>
      <c r="N71" s="1" t="b">
        <v>0</v>
      </c>
      <c r="O71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72" spans="1:15" ht="85.5" x14ac:dyDescent="0.45">
      <c r="A72" s="1" t="s">
        <v>163</v>
      </c>
      <c r="B72" s="1" t="s">
        <v>164</v>
      </c>
      <c r="C72" s="1" t="b">
        <v>0</v>
      </c>
      <c r="D72" s="1" t="b">
        <v>1</v>
      </c>
      <c r="E72" s="1" t="s">
        <v>127</v>
      </c>
      <c r="F72" s="1" t="s">
        <v>3</v>
      </c>
      <c r="G72" s="1" t="s">
        <v>3</v>
      </c>
      <c r="H72" s="1" t="b">
        <v>0</v>
      </c>
      <c r="I72" s="1" t="b">
        <v>0</v>
      </c>
      <c r="J72" s="1" t="b">
        <v>0</v>
      </c>
      <c r="K72" s="1" t="s">
        <v>165</v>
      </c>
      <c r="L72" s="1"/>
      <c r="M72" s="1" t="str">
        <f>IF(AND(Table1[[#This Row],[Best Practice Recommendation Light]] &lt;&gt; Table1[[#This Row],[Enabled]], Table1[[#This Row],[Best Practice Recommendation Light]] &lt;&gt; ""), "Change Default","")</f>
        <v/>
      </c>
      <c r="N72" s="1"/>
      <c r="O72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73" spans="1:15" ht="42.75" x14ac:dyDescent="0.45">
      <c r="A73" s="1" t="s">
        <v>166</v>
      </c>
      <c r="B73" s="1" t="s">
        <v>167</v>
      </c>
      <c r="C73" s="1" t="b">
        <v>0</v>
      </c>
      <c r="D73" s="1" t="b">
        <v>1</v>
      </c>
      <c r="E73" s="1" t="s">
        <v>127</v>
      </c>
      <c r="F73" s="1" t="s">
        <v>3</v>
      </c>
      <c r="G73" s="1" t="s">
        <v>3</v>
      </c>
      <c r="H73" s="1" t="b">
        <v>0</v>
      </c>
      <c r="I73" s="1" t="b">
        <v>0</v>
      </c>
      <c r="J73" s="1" t="b">
        <v>0</v>
      </c>
      <c r="K73" s="1" t="s">
        <v>3</v>
      </c>
      <c r="L73" s="1"/>
      <c r="M73" s="1" t="str">
        <f>IF(AND(Table1[[#This Row],[Best Practice Recommendation Light]] &lt;&gt; Table1[[#This Row],[Enabled]], Table1[[#This Row],[Best Practice Recommendation Light]] &lt;&gt; ""), "Change Default","")</f>
        <v/>
      </c>
      <c r="N73" s="1"/>
      <c r="O73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74" spans="1:15" ht="42.75" x14ac:dyDescent="0.45">
      <c r="A74" s="1" t="s">
        <v>168</v>
      </c>
      <c r="B74" s="1" t="s">
        <v>169</v>
      </c>
      <c r="C74" s="1" t="b">
        <v>1</v>
      </c>
      <c r="D74" s="1" t="b">
        <v>0</v>
      </c>
      <c r="E74" s="1" t="s">
        <v>127</v>
      </c>
      <c r="F74" s="1" t="s">
        <v>3</v>
      </c>
      <c r="G74" s="1" t="s">
        <v>3</v>
      </c>
      <c r="H74" s="1" t="b">
        <v>0</v>
      </c>
      <c r="I74" s="1" t="b">
        <v>0</v>
      </c>
      <c r="J74" s="1" t="b">
        <v>0</v>
      </c>
      <c r="K74" s="1" t="s">
        <v>3</v>
      </c>
      <c r="L74" s="1"/>
      <c r="M74" s="1" t="str">
        <f>IF(AND(Table1[[#This Row],[Best Practice Recommendation Light]] &lt;&gt; Table1[[#This Row],[Enabled]], Table1[[#This Row],[Best Practice Recommendation Light]] &lt;&gt; ""), "Change Default","")</f>
        <v/>
      </c>
      <c r="N74" s="1" t="b">
        <v>0</v>
      </c>
      <c r="O74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75" spans="1:15" ht="42.75" x14ac:dyDescent="0.45">
      <c r="A75" s="1" t="s">
        <v>170</v>
      </c>
      <c r="B75" s="1" t="s">
        <v>171</v>
      </c>
      <c r="C75" s="1" t="b">
        <v>1</v>
      </c>
      <c r="D75" s="1" t="b">
        <v>1</v>
      </c>
      <c r="E75" s="1" t="s">
        <v>127</v>
      </c>
      <c r="F75" s="1" t="s">
        <v>3</v>
      </c>
      <c r="G75" s="1" t="s">
        <v>3</v>
      </c>
      <c r="H75" s="1" t="b">
        <v>0</v>
      </c>
      <c r="I75" s="1" t="b">
        <v>0</v>
      </c>
      <c r="J75" s="1" t="b">
        <v>0</v>
      </c>
      <c r="K75" s="1" t="s">
        <v>3</v>
      </c>
      <c r="L75" s="1"/>
      <c r="M75" s="1" t="str">
        <f>IF(AND(Table1[[#This Row],[Best Practice Recommendation Light]] &lt;&gt; Table1[[#This Row],[Enabled]], Table1[[#This Row],[Best Practice Recommendation Light]] &lt;&gt; ""), "Change Default","")</f>
        <v/>
      </c>
      <c r="N75" s="1" t="b">
        <v>0</v>
      </c>
      <c r="O75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76" spans="1:15" ht="42.75" x14ac:dyDescent="0.45">
      <c r="A76" s="1" t="s">
        <v>172</v>
      </c>
      <c r="B76" s="1" t="s">
        <v>173</v>
      </c>
      <c r="C76" s="1" t="b">
        <v>1</v>
      </c>
      <c r="D76" s="1" t="b">
        <v>1</v>
      </c>
      <c r="E76" s="1" t="s">
        <v>127</v>
      </c>
      <c r="F76" s="1" t="s">
        <v>3</v>
      </c>
      <c r="G76" s="1" t="s">
        <v>3</v>
      </c>
      <c r="H76" s="1" t="b">
        <v>0</v>
      </c>
      <c r="I76" s="1" t="b">
        <v>0</v>
      </c>
      <c r="J76" s="1" t="b">
        <v>0</v>
      </c>
      <c r="K76" s="1" t="s">
        <v>3</v>
      </c>
      <c r="L76" s="1"/>
      <c r="M76" s="1" t="str">
        <f>IF(AND(Table1[[#This Row],[Best Practice Recommendation Light]] &lt;&gt; Table1[[#This Row],[Enabled]], Table1[[#This Row],[Best Practice Recommendation Light]] &lt;&gt; ""), "Change Default","")</f>
        <v/>
      </c>
      <c r="N76" s="1" t="b">
        <v>0</v>
      </c>
      <c r="O76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77" spans="1:15" ht="42.75" x14ac:dyDescent="0.45">
      <c r="A77" s="1" t="s">
        <v>174</v>
      </c>
      <c r="B77" s="1" t="s">
        <v>175</v>
      </c>
      <c r="C77" s="1" t="b">
        <v>1</v>
      </c>
      <c r="D77" s="1" t="b">
        <v>1</v>
      </c>
      <c r="E77" s="1" t="s">
        <v>127</v>
      </c>
      <c r="F77" s="1" t="s">
        <v>3</v>
      </c>
      <c r="G77" s="1" t="s">
        <v>3</v>
      </c>
      <c r="H77" s="1" t="b">
        <v>0</v>
      </c>
      <c r="I77" s="1" t="b">
        <v>0</v>
      </c>
      <c r="J77" s="1" t="b">
        <v>0</v>
      </c>
      <c r="K77" s="1" t="s">
        <v>3</v>
      </c>
      <c r="L77" s="1"/>
      <c r="M77" s="1" t="str">
        <f>IF(AND(Table1[[#This Row],[Best Practice Recommendation Light]] &lt;&gt; Table1[[#This Row],[Enabled]], Table1[[#This Row],[Best Practice Recommendation Light]] &lt;&gt; ""), "Change Default","")</f>
        <v/>
      </c>
      <c r="N77" s="1"/>
      <c r="O77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78" spans="1:15" ht="42.75" x14ac:dyDescent="0.45">
      <c r="A78" s="1" t="s">
        <v>176</v>
      </c>
      <c r="B78" s="1" t="s">
        <v>177</v>
      </c>
      <c r="C78" s="1" t="b">
        <v>1</v>
      </c>
      <c r="D78" s="1" t="b">
        <v>1</v>
      </c>
      <c r="E78" s="1" t="s">
        <v>127</v>
      </c>
      <c r="F78" s="1" t="s">
        <v>3</v>
      </c>
      <c r="G78" s="1" t="s">
        <v>3</v>
      </c>
      <c r="H78" s="1" t="b">
        <v>0</v>
      </c>
      <c r="I78" s="1" t="b">
        <v>0</v>
      </c>
      <c r="J78" s="1" t="b">
        <v>0</v>
      </c>
      <c r="K78" s="1" t="s">
        <v>3</v>
      </c>
      <c r="L78" s="1"/>
      <c r="M78" s="1" t="str">
        <f>IF(AND(Table1[[#This Row],[Best Practice Recommendation Light]] &lt;&gt; Table1[[#This Row],[Enabled]], Table1[[#This Row],[Best Practice Recommendation Light]] &lt;&gt; ""), "Change Default","")</f>
        <v/>
      </c>
      <c r="N78" s="1"/>
      <c r="O78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79" spans="1:15" ht="42.75" x14ac:dyDescent="0.45">
      <c r="A79" s="1" t="s">
        <v>178</v>
      </c>
      <c r="B79" s="1" t="s">
        <v>179</v>
      </c>
      <c r="C79" s="1" t="b">
        <v>1</v>
      </c>
      <c r="D79" s="1" t="b">
        <v>1</v>
      </c>
      <c r="E79" s="1" t="s">
        <v>127</v>
      </c>
      <c r="F79" s="1" t="s">
        <v>3</v>
      </c>
      <c r="G79" s="1" t="s">
        <v>3</v>
      </c>
      <c r="H79" s="1" t="b">
        <v>0</v>
      </c>
      <c r="I79" s="1" t="b">
        <v>0</v>
      </c>
      <c r="J79" s="1" t="b">
        <v>0</v>
      </c>
      <c r="K79" s="1" t="s">
        <v>3</v>
      </c>
      <c r="L79" s="1"/>
      <c r="M79" s="1" t="str">
        <f>IF(AND(Table1[[#This Row],[Best Practice Recommendation Light]] &lt;&gt; Table1[[#This Row],[Enabled]], Table1[[#This Row],[Best Practice Recommendation Light]] &lt;&gt; ""), "Change Default","")</f>
        <v/>
      </c>
      <c r="N79" s="1" t="b">
        <v>0</v>
      </c>
      <c r="O79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80" spans="1:15" ht="42.75" x14ac:dyDescent="0.45">
      <c r="A80" s="1" t="s">
        <v>180</v>
      </c>
      <c r="B80" s="1" t="s">
        <v>181</v>
      </c>
      <c r="C80" s="1" t="b">
        <v>1</v>
      </c>
      <c r="D80" s="1" t="b">
        <v>1</v>
      </c>
      <c r="E80" s="1" t="s">
        <v>127</v>
      </c>
      <c r="F80" s="1" t="s">
        <v>3</v>
      </c>
      <c r="G80" s="1" t="s">
        <v>3</v>
      </c>
      <c r="H80" s="1" t="b">
        <v>0</v>
      </c>
      <c r="I80" s="1" t="b">
        <v>0</v>
      </c>
      <c r="J80" s="1" t="b">
        <v>0</v>
      </c>
      <c r="K80" s="1" t="s">
        <v>3</v>
      </c>
      <c r="L80" s="1"/>
      <c r="M80" s="1" t="str">
        <f>IF(AND(Table1[[#This Row],[Best Practice Recommendation Light]] &lt;&gt; Table1[[#This Row],[Enabled]], Table1[[#This Row],[Best Practice Recommendation Light]] &lt;&gt; ""), "Change Default","")</f>
        <v/>
      </c>
      <c r="N80" s="1" t="b">
        <v>0</v>
      </c>
      <c r="O80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81" spans="1:15" ht="42.75" x14ac:dyDescent="0.45">
      <c r="A81" s="1" t="s">
        <v>182</v>
      </c>
      <c r="B81" s="1" t="s">
        <v>183</v>
      </c>
      <c r="C81" s="1" t="b">
        <v>1</v>
      </c>
      <c r="D81" s="1" t="b">
        <v>1</v>
      </c>
      <c r="E81" s="1" t="s">
        <v>127</v>
      </c>
      <c r="F81" s="1" t="s">
        <v>3</v>
      </c>
      <c r="G81" s="1" t="s">
        <v>3</v>
      </c>
      <c r="H81" s="1" t="b">
        <v>0</v>
      </c>
      <c r="I81" s="1" t="b">
        <v>0</v>
      </c>
      <c r="J81" s="1" t="b">
        <v>0</v>
      </c>
      <c r="K81" s="1" t="s">
        <v>3</v>
      </c>
      <c r="L81" s="1"/>
      <c r="M81" s="1" t="str">
        <f>IF(AND(Table1[[#This Row],[Best Practice Recommendation Light]] &lt;&gt; Table1[[#This Row],[Enabled]], Table1[[#This Row],[Best Practice Recommendation Light]] &lt;&gt; ""), "Change Default","")</f>
        <v/>
      </c>
      <c r="N81" s="1"/>
      <c r="O81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82" spans="1:15" ht="42.75" x14ac:dyDescent="0.45">
      <c r="A82" s="1" t="s">
        <v>184</v>
      </c>
      <c r="B82" s="1" t="s">
        <v>185</v>
      </c>
      <c r="C82" s="1" t="b">
        <v>1</v>
      </c>
      <c r="D82" s="1" t="b">
        <v>1</v>
      </c>
      <c r="E82" s="1" t="s">
        <v>127</v>
      </c>
      <c r="F82" s="1" t="s">
        <v>3</v>
      </c>
      <c r="G82" s="1" t="s">
        <v>3</v>
      </c>
      <c r="H82" s="1" t="b">
        <v>0</v>
      </c>
      <c r="I82" s="1" t="b">
        <v>0</v>
      </c>
      <c r="J82" s="1" t="b">
        <v>0</v>
      </c>
      <c r="K82" s="1" t="s">
        <v>3</v>
      </c>
      <c r="L82" s="1"/>
      <c r="M82" s="1" t="str">
        <f>IF(AND(Table1[[#This Row],[Best Practice Recommendation Light]] &lt;&gt; Table1[[#This Row],[Enabled]], Table1[[#This Row],[Best Practice Recommendation Light]] &lt;&gt; ""), "Change Default","")</f>
        <v/>
      </c>
      <c r="N82" s="1" t="b">
        <v>0</v>
      </c>
      <c r="O82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83" spans="1:15" ht="42.75" x14ac:dyDescent="0.45">
      <c r="A83" s="1" t="s">
        <v>186</v>
      </c>
      <c r="B83" s="1" t="s">
        <v>187</v>
      </c>
      <c r="C83" s="1" t="b">
        <v>1</v>
      </c>
      <c r="D83" s="1" t="b">
        <v>1</v>
      </c>
      <c r="E83" s="1" t="s">
        <v>127</v>
      </c>
      <c r="F83" s="1" t="s">
        <v>3</v>
      </c>
      <c r="G83" s="1" t="s">
        <v>3</v>
      </c>
      <c r="H83" s="1" t="b">
        <v>0</v>
      </c>
      <c r="I83" s="1" t="b">
        <v>0</v>
      </c>
      <c r="J83" s="1" t="b">
        <v>0</v>
      </c>
      <c r="K83" s="1" t="s">
        <v>3</v>
      </c>
      <c r="L83" s="1"/>
      <c r="M83" s="1" t="str">
        <f>IF(AND(Table1[[#This Row],[Best Practice Recommendation Light]] &lt;&gt; Table1[[#This Row],[Enabled]], Table1[[#This Row],[Best Practice Recommendation Light]] &lt;&gt; ""), "Change Default","")</f>
        <v/>
      </c>
      <c r="N83" s="1"/>
      <c r="O83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84" spans="1:15" ht="42.75" x14ac:dyDescent="0.45">
      <c r="A84" s="1" t="s">
        <v>188</v>
      </c>
      <c r="B84" s="1" t="s">
        <v>189</v>
      </c>
      <c r="C84" s="1" t="b">
        <v>0</v>
      </c>
      <c r="D84" s="1" t="b">
        <v>0</v>
      </c>
      <c r="E84" s="1" t="s">
        <v>127</v>
      </c>
      <c r="F84" s="1" t="s">
        <v>3</v>
      </c>
      <c r="G84" s="1" t="s">
        <v>3</v>
      </c>
      <c r="H84" s="1" t="b">
        <v>0</v>
      </c>
      <c r="I84" s="1" t="b">
        <v>0</v>
      </c>
      <c r="J84" s="1" t="b">
        <v>0</v>
      </c>
      <c r="K84" s="1" t="s">
        <v>3</v>
      </c>
      <c r="L84" s="1"/>
      <c r="M84" s="1" t="str">
        <f>IF(AND(Table1[[#This Row],[Best Practice Recommendation Light]] &lt;&gt; Table1[[#This Row],[Enabled]], Table1[[#This Row],[Best Practice Recommendation Light]] &lt;&gt; ""), "Change Default","")</f>
        <v/>
      </c>
      <c r="N84" s="1" t="b">
        <v>0</v>
      </c>
      <c r="O84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85" spans="1:15" ht="42.75" x14ac:dyDescent="0.45">
      <c r="A85" s="1" t="s">
        <v>190</v>
      </c>
      <c r="B85" s="1" t="s">
        <v>191</v>
      </c>
      <c r="C85" s="1" t="b">
        <v>1</v>
      </c>
      <c r="D85" s="1" t="b">
        <v>1</v>
      </c>
      <c r="E85" s="1" t="s">
        <v>127</v>
      </c>
      <c r="F85" s="1" t="s">
        <v>3</v>
      </c>
      <c r="G85" s="1" t="s">
        <v>3</v>
      </c>
      <c r="H85" s="1" t="b">
        <v>0</v>
      </c>
      <c r="I85" s="1" t="b">
        <v>0</v>
      </c>
      <c r="J85" s="1" t="b">
        <v>0</v>
      </c>
      <c r="K85" s="1" t="s">
        <v>3</v>
      </c>
      <c r="L85" s="1"/>
      <c r="M85" s="1" t="str">
        <f>IF(AND(Table1[[#This Row],[Best Practice Recommendation Light]] &lt;&gt; Table1[[#This Row],[Enabled]], Table1[[#This Row],[Best Practice Recommendation Light]] &lt;&gt; ""), "Change Default","")</f>
        <v/>
      </c>
      <c r="N85" s="1" t="b">
        <v>0</v>
      </c>
      <c r="O85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86" spans="1:15" ht="42.75" x14ac:dyDescent="0.45">
      <c r="A86" s="1" t="s">
        <v>192</v>
      </c>
      <c r="B86" s="1" t="s">
        <v>193</v>
      </c>
      <c r="C86" s="1" t="b">
        <v>1</v>
      </c>
      <c r="D86" s="1" t="b">
        <v>1</v>
      </c>
      <c r="E86" s="1" t="s">
        <v>127</v>
      </c>
      <c r="F86" s="1" t="s">
        <v>3</v>
      </c>
      <c r="G86" s="1" t="s">
        <v>3</v>
      </c>
      <c r="H86" s="1" t="b">
        <v>0</v>
      </c>
      <c r="I86" s="1" t="b">
        <v>0</v>
      </c>
      <c r="J86" s="1" t="b">
        <v>0</v>
      </c>
      <c r="K86" s="1" t="s">
        <v>3</v>
      </c>
      <c r="L86" s="1"/>
      <c r="M86" s="1" t="str">
        <f>IF(AND(Table1[[#This Row],[Best Practice Recommendation Light]] &lt;&gt; Table1[[#This Row],[Enabled]], Table1[[#This Row],[Best Practice Recommendation Light]] &lt;&gt; ""), "Change Default","")</f>
        <v/>
      </c>
      <c r="N86" s="1" t="b">
        <v>0</v>
      </c>
      <c r="O86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87" spans="1:15" ht="28.5" x14ac:dyDescent="0.45">
      <c r="A87" s="1" t="s">
        <v>194</v>
      </c>
      <c r="B87" s="1" t="s">
        <v>195</v>
      </c>
      <c r="C87" s="1" t="b">
        <v>1</v>
      </c>
      <c r="D87" s="1" t="b">
        <v>1</v>
      </c>
      <c r="E87" s="1" t="s">
        <v>196</v>
      </c>
      <c r="F87" s="1" t="s">
        <v>3</v>
      </c>
      <c r="G87" s="1" t="s">
        <v>3</v>
      </c>
      <c r="H87" s="1" t="b">
        <v>0</v>
      </c>
      <c r="I87" s="1" t="b">
        <v>0</v>
      </c>
      <c r="J87" s="1" t="b">
        <v>0</v>
      </c>
      <c r="K87" s="1" t="s">
        <v>3</v>
      </c>
      <c r="L87" s="1" t="b">
        <v>1</v>
      </c>
      <c r="M87" s="1" t="str">
        <f>IF(AND(Table1[[#This Row],[Best Practice Recommendation Light]] &lt;&gt; Table1[[#This Row],[Enabled]], Table1[[#This Row],[Best Practice Recommendation Light]] &lt;&gt; ""), "Change Default","")</f>
        <v/>
      </c>
      <c r="N87" s="1" t="b">
        <v>1</v>
      </c>
      <c r="O87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88" spans="1:15" ht="28.5" x14ac:dyDescent="0.45">
      <c r="A88" s="1" t="s">
        <v>197</v>
      </c>
      <c r="B88" s="1" t="s">
        <v>198</v>
      </c>
      <c r="C88" s="1" t="b">
        <v>0</v>
      </c>
      <c r="D88" s="1" t="b">
        <v>1</v>
      </c>
      <c r="E88" s="1" t="s">
        <v>196</v>
      </c>
      <c r="F88" s="1" t="s">
        <v>3</v>
      </c>
      <c r="G88" s="1" t="s">
        <v>3</v>
      </c>
      <c r="H88" s="1" t="b">
        <v>0</v>
      </c>
      <c r="I88" s="1" t="b">
        <v>0</v>
      </c>
      <c r="J88" s="1" t="b">
        <v>0</v>
      </c>
      <c r="K88" s="1" t="s">
        <v>3</v>
      </c>
      <c r="L88" s="1"/>
      <c r="M88" s="1" t="str">
        <f>IF(AND(Table1[[#This Row],[Best Practice Recommendation Light]] &lt;&gt; Table1[[#This Row],[Enabled]], Table1[[#This Row],[Best Practice Recommendation Light]] &lt;&gt; ""), "Change Default","")</f>
        <v/>
      </c>
      <c r="N88" s="1" t="b">
        <v>0</v>
      </c>
      <c r="O88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89" spans="1:15" ht="28.5" x14ac:dyDescent="0.45">
      <c r="A89" s="1" t="s">
        <v>199</v>
      </c>
      <c r="B89" s="1" t="s">
        <v>200</v>
      </c>
      <c r="C89" s="1" t="b">
        <v>1</v>
      </c>
      <c r="D89" s="1" t="b">
        <v>1</v>
      </c>
      <c r="E89" s="1" t="s">
        <v>196</v>
      </c>
      <c r="F89" s="1" t="s">
        <v>3</v>
      </c>
      <c r="G89" s="1" t="s">
        <v>3</v>
      </c>
      <c r="H89" s="1" t="b">
        <v>0</v>
      </c>
      <c r="I89" s="1" t="b">
        <v>0</v>
      </c>
      <c r="J89" s="1" t="b">
        <v>0</v>
      </c>
      <c r="K89" s="1" t="s">
        <v>3</v>
      </c>
      <c r="L89" s="1"/>
      <c r="M89" s="1" t="str">
        <f>IF(AND(Table1[[#This Row],[Best Practice Recommendation Light]] &lt;&gt; Table1[[#This Row],[Enabled]], Table1[[#This Row],[Best Practice Recommendation Light]] &lt;&gt; ""), "Change Default","")</f>
        <v/>
      </c>
      <c r="N89" s="1" t="b">
        <v>0</v>
      </c>
      <c r="O89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90" spans="1:15" ht="28.5" x14ac:dyDescent="0.45">
      <c r="A90" s="1" t="s">
        <v>201</v>
      </c>
      <c r="B90" s="1" t="s">
        <v>202</v>
      </c>
      <c r="C90" s="1" t="b">
        <v>0</v>
      </c>
      <c r="D90" s="1" t="b">
        <v>1</v>
      </c>
      <c r="E90" s="1" t="s">
        <v>196</v>
      </c>
      <c r="F90" s="1" t="s">
        <v>3</v>
      </c>
      <c r="G90" s="1" t="s">
        <v>3</v>
      </c>
      <c r="H90" s="1" t="b">
        <v>0</v>
      </c>
      <c r="I90" s="1" t="b">
        <v>0</v>
      </c>
      <c r="J90" s="1" t="b">
        <v>0</v>
      </c>
      <c r="K90" s="1" t="s">
        <v>3</v>
      </c>
      <c r="L90" s="1"/>
      <c r="M90" s="1" t="str">
        <f>IF(AND(Table1[[#This Row],[Best Practice Recommendation Light]] &lt;&gt; Table1[[#This Row],[Enabled]], Table1[[#This Row],[Best Practice Recommendation Light]] &lt;&gt; ""), "Change Default","")</f>
        <v/>
      </c>
      <c r="N90" s="1" t="b">
        <v>0</v>
      </c>
      <c r="O90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91" spans="1:15" ht="28.5" x14ac:dyDescent="0.45">
      <c r="A91" s="1" t="s">
        <v>203</v>
      </c>
      <c r="B91" s="1" t="s">
        <v>204</v>
      </c>
      <c r="C91" s="1" t="b">
        <v>1</v>
      </c>
      <c r="D91" s="1" t="b">
        <v>1</v>
      </c>
      <c r="E91" s="1" t="s">
        <v>205</v>
      </c>
      <c r="F91" s="1" t="s">
        <v>3</v>
      </c>
      <c r="G91" s="1" t="s">
        <v>3</v>
      </c>
      <c r="H91" s="1" t="b">
        <v>0</v>
      </c>
      <c r="I91" s="1" t="b">
        <v>0</v>
      </c>
      <c r="J91" s="1" t="b">
        <v>0</v>
      </c>
      <c r="K91" s="1" t="s">
        <v>3</v>
      </c>
      <c r="L91" s="1"/>
      <c r="M91" s="1" t="str">
        <f>IF(AND(Table1[[#This Row],[Best Practice Recommendation Light]] &lt;&gt; Table1[[#This Row],[Enabled]], Table1[[#This Row],[Best Practice Recommendation Light]] &lt;&gt; ""), "Change Default","")</f>
        <v/>
      </c>
      <c r="N91" s="1"/>
      <c r="O91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92" spans="1:15" ht="228" x14ac:dyDescent="0.45">
      <c r="A92" s="1" t="s">
        <v>206</v>
      </c>
      <c r="B92" s="1" t="s">
        <v>207</v>
      </c>
      <c r="C92" s="1" t="b">
        <v>0</v>
      </c>
      <c r="D92" s="1" t="b">
        <v>1</v>
      </c>
      <c r="E92" s="1" t="s">
        <v>208</v>
      </c>
      <c r="F92" s="1" t="s">
        <v>3</v>
      </c>
      <c r="G92" s="1" t="s">
        <v>3</v>
      </c>
      <c r="H92" s="1" t="b">
        <v>0</v>
      </c>
      <c r="I92" s="1" t="b">
        <v>0</v>
      </c>
      <c r="J92" s="1" t="b">
        <v>0</v>
      </c>
      <c r="K92" s="1" t="s">
        <v>209</v>
      </c>
      <c r="L92" s="1"/>
      <c r="M92" s="1" t="str">
        <f>IF(AND(Table1[[#This Row],[Best Practice Recommendation Light]] &lt;&gt; Table1[[#This Row],[Enabled]], Table1[[#This Row],[Best Practice Recommendation Light]] &lt;&gt; ""), "Change Default","")</f>
        <v/>
      </c>
      <c r="N92" s="1"/>
      <c r="O92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93" spans="1:15" ht="85.5" x14ac:dyDescent="0.45">
      <c r="A93" s="1" t="s">
        <v>210</v>
      </c>
      <c r="B93" s="1" t="s">
        <v>211</v>
      </c>
      <c r="C93" s="1" t="b">
        <v>0</v>
      </c>
      <c r="D93" s="1" t="b">
        <v>1</v>
      </c>
      <c r="E93" s="1" t="s">
        <v>208</v>
      </c>
      <c r="F93" s="1" t="s">
        <v>3</v>
      </c>
      <c r="G93" s="1" t="s">
        <v>3</v>
      </c>
      <c r="H93" s="1" t="b">
        <v>0</v>
      </c>
      <c r="I93" s="1" t="b">
        <v>0</v>
      </c>
      <c r="J93" s="1" t="b">
        <v>0</v>
      </c>
      <c r="K93" s="1" t="s">
        <v>212</v>
      </c>
      <c r="L93" s="1"/>
      <c r="M93" s="1" t="str">
        <f>IF(AND(Table1[[#This Row],[Best Practice Recommendation Light]] &lt;&gt; Table1[[#This Row],[Enabled]], Table1[[#This Row],[Best Practice Recommendation Light]] &lt;&gt; ""), "Change Default","")</f>
        <v/>
      </c>
      <c r="N93" s="1"/>
      <c r="O93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94" spans="1:15" ht="42.75" x14ac:dyDescent="0.45">
      <c r="A94" s="1" t="s">
        <v>213</v>
      </c>
      <c r="B94" s="1" t="s">
        <v>214</v>
      </c>
      <c r="C94" s="1" t="b">
        <v>0</v>
      </c>
      <c r="D94" s="1" t="b">
        <v>1</v>
      </c>
      <c r="E94" s="1" t="s">
        <v>208</v>
      </c>
      <c r="F94" s="1" t="s">
        <v>3</v>
      </c>
      <c r="G94" s="1" t="s">
        <v>3</v>
      </c>
      <c r="H94" s="1" t="b">
        <v>0</v>
      </c>
      <c r="I94" s="1" t="b">
        <v>0</v>
      </c>
      <c r="J94" s="1" t="b">
        <v>0</v>
      </c>
      <c r="K94" s="1" t="s">
        <v>3</v>
      </c>
      <c r="L94" s="1"/>
      <c r="M94" s="1" t="str">
        <f>IF(AND(Table1[[#This Row],[Best Practice Recommendation Light]] &lt;&gt; Table1[[#This Row],[Enabled]], Table1[[#This Row],[Best Practice Recommendation Light]] &lt;&gt; ""), "Change Default","")</f>
        <v/>
      </c>
      <c r="N94" s="1"/>
      <c r="O94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95" spans="1:15" ht="42.75" x14ac:dyDescent="0.45">
      <c r="A95" s="1" t="s">
        <v>215</v>
      </c>
      <c r="B95" s="1" t="s">
        <v>216</v>
      </c>
      <c r="C95" s="1" t="b">
        <v>1</v>
      </c>
      <c r="D95" s="1" t="b">
        <v>1</v>
      </c>
      <c r="E95" s="1" t="s">
        <v>208</v>
      </c>
      <c r="F95" s="1" t="s">
        <v>3</v>
      </c>
      <c r="G95" s="1" t="s">
        <v>3</v>
      </c>
      <c r="H95" s="1" t="b">
        <v>0</v>
      </c>
      <c r="I95" s="1" t="b">
        <v>0</v>
      </c>
      <c r="J95" s="1" t="b">
        <v>0</v>
      </c>
      <c r="K95" s="1" t="s">
        <v>3</v>
      </c>
      <c r="L95" s="1"/>
      <c r="M95" s="1" t="str">
        <f>IF(AND(Table1[[#This Row],[Best Practice Recommendation Light]] &lt;&gt; Table1[[#This Row],[Enabled]], Table1[[#This Row],[Best Practice Recommendation Light]] &lt;&gt; ""), "Change Default","")</f>
        <v/>
      </c>
      <c r="N95" s="1" t="b">
        <v>0</v>
      </c>
      <c r="O95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96" spans="1:15" ht="71.25" x14ac:dyDescent="0.45">
      <c r="A96" s="1" t="s">
        <v>217</v>
      </c>
      <c r="B96" s="1" t="s">
        <v>218</v>
      </c>
      <c r="C96" s="1" t="b">
        <v>0</v>
      </c>
      <c r="D96" s="1" t="b">
        <v>1</v>
      </c>
      <c r="E96" s="1" t="s">
        <v>208</v>
      </c>
      <c r="F96" s="1" t="s">
        <v>3</v>
      </c>
      <c r="G96" s="1" t="s">
        <v>3</v>
      </c>
      <c r="H96" s="1" t="b">
        <v>0</v>
      </c>
      <c r="I96" s="1" t="b">
        <v>0</v>
      </c>
      <c r="J96" s="1" t="b">
        <v>0</v>
      </c>
      <c r="K96" s="1" t="s">
        <v>219</v>
      </c>
      <c r="L96" s="1"/>
      <c r="M96" s="1" t="str">
        <f>IF(AND(Table1[[#This Row],[Best Practice Recommendation Light]] &lt;&gt; Table1[[#This Row],[Enabled]], Table1[[#This Row],[Best Practice Recommendation Light]] &lt;&gt; ""), "Change Default","")</f>
        <v/>
      </c>
      <c r="N96" s="1" t="b">
        <v>1</v>
      </c>
      <c r="O96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97" spans="1:15" ht="42.75" x14ac:dyDescent="0.45">
      <c r="A97" s="1" t="s">
        <v>220</v>
      </c>
      <c r="B97" s="1" t="s">
        <v>221</v>
      </c>
      <c r="C97" s="1" t="b">
        <v>0</v>
      </c>
      <c r="D97" s="1" t="b">
        <v>1</v>
      </c>
      <c r="E97" s="1" t="s">
        <v>222</v>
      </c>
      <c r="F97" s="1" t="s">
        <v>3</v>
      </c>
      <c r="G97" s="1" t="s">
        <v>3</v>
      </c>
      <c r="H97" s="1" t="b">
        <v>0</v>
      </c>
      <c r="I97" s="1" t="b">
        <v>0</v>
      </c>
      <c r="J97" s="1" t="b">
        <v>0</v>
      </c>
      <c r="K97" s="1" t="s">
        <v>3</v>
      </c>
      <c r="L97" s="1"/>
      <c r="M97" s="1" t="str">
        <f>IF(AND(Table1[[#This Row],[Best Practice Recommendation Light]] &lt;&gt; Table1[[#This Row],[Enabled]], Table1[[#This Row],[Best Practice Recommendation Light]] &lt;&gt; ""), "Change Default","")</f>
        <v/>
      </c>
      <c r="N97" s="1" t="b">
        <v>1</v>
      </c>
      <c r="O97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98" spans="1:15" ht="42.75" x14ac:dyDescent="0.45">
      <c r="A98" s="1" t="s">
        <v>223</v>
      </c>
      <c r="B98" s="1" t="s">
        <v>224</v>
      </c>
      <c r="C98" s="1" t="b">
        <v>0</v>
      </c>
      <c r="D98" s="1" t="b">
        <v>1</v>
      </c>
      <c r="E98" s="1" t="s">
        <v>222</v>
      </c>
      <c r="F98" s="1" t="s">
        <v>3</v>
      </c>
      <c r="G98" s="1" t="s">
        <v>3</v>
      </c>
      <c r="H98" s="1" t="b">
        <v>0</v>
      </c>
      <c r="I98" s="1" t="b">
        <v>0</v>
      </c>
      <c r="J98" s="1" t="b">
        <v>0</v>
      </c>
      <c r="K98" s="1" t="s">
        <v>3</v>
      </c>
      <c r="L98" s="1"/>
      <c r="M98" s="1" t="str">
        <f>IF(AND(Table1[[#This Row],[Best Practice Recommendation Light]] &lt;&gt; Table1[[#This Row],[Enabled]], Table1[[#This Row],[Best Practice Recommendation Light]] &lt;&gt; ""), "Change Default","")</f>
        <v/>
      </c>
      <c r="N98" s="1" t="b">
        <v>1</v>
      </c>
      <c r="O98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99" spans="1:15" ht="42.75" x14ac:dyDescent="0.45">
      <c r="A99" s="1" t="s">
        <v>225</v>
      </c>
      <c r="B99" s="1" t="s">
        <v>226</v>
      </c>
      <c r="C99" s="1" t="b">
        <v>0</v>
      </c>
      <c r="D99" s="1" t="b">
        <v>1</v>
      </c>
      <c r="E99" s="1" t="s">
        <v>222</v>
      </c>
      <c r="F99" s="1" t="s">
        <v>3</v>
      </c>
      <c r="G99" s="1" t="s">
        <v>3</v>
      </c>
      <c r="H99" s="1" t="b">
        <v>0</v>
      </c>
      <c r="I99" s="1" t="b">
        <v>0</v>
      </c>
      <c r="J99" s="1" t="b">
        <v>0</v>
      </c>
      <c r="K99" s="1" t="s">
        <v>3</v>
      </c>
      <c r="L99" s="1"/>
      <c r="M99" s="1" t="str">
        <f>IF(AND(Table1[[#This Row],[Best Practice Recommendation Light]] &lt;&gt; Table1[[#This Row],[Enabled]], Table1[[#This Row],[Best Practice Recommendation Light]] &lt;&gt; ""), "Change Default","")</f>
        <v/>
      </c>
      <c r="N99" s="1" t="b">
        <v>1</v>
      </c>
      <c r="O99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00" spans="1:15" ht="42.75" x14ac:dyDescent="0.45">
      <c r="A100" s="1" t="s">
        <v>227</v>
      </c>
      <c r="B100" s="1" t="s">
        <v>228</v>
      </c>
      <c r="C100" s="1" t="b">
        <v>0</v>
      </c>
      <c r="D100" s="1" t="b">
        <v>0</v>
      </c>
      <c r="E100" s="1" t="s">
        <v>222</v>
      </c>
      <c r="F100" s="1" t="s">
        <v>3</v>
      </c>
      <c r="G100" s="1" t="s">
        <v>3</v>
      </c>
      <c r="H100" s="1" t="b">
        <v>0</v>
      </c>
      <c r="I100" s="1" t="b">
        <v>0</v>
      </c>
      <c r="J100" s="1" t="b">
        <v>0</v>
      </c>
      <c r="K100" s="1" t="s">
        <v>3</v>
      </c>
      <c r="L100" s="1"/>
      <c r="M100" s="1" t="str">
        <f>IF(AND(Table1[[#This Row],[Best Practice Recommendation Light]] &lt;&gt; Table1[[#This Row],[Enabled]], Table1[[#This Row],[Best Practice Recommendation Light]] &lt;&gt; ""), "Change Default","")</f>
        <v/>
      </c>
      <c r="N100" s="1" t="b">
        <v>0</v>
      </c>
      <c r="O100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01" spans="1:15" ht="42.75" x14ac:dyDescent="0.45">
      <c r="A101" s="1" t="s">
        <v>229</v>
      </c>
      <c r="B101" s="1" t="s">
        <v>230</v>
      </c>
      <c r="C101" s="1" t="b">
        <v>0</v>
      </c>
      <c r="D101" s="1" t="b">
        <v>0</v>
      </c>
      <c r="E101" s="1" t="s">
        <v>222</v>
      </c>
      <c r="F101" s="1" t="s">
        <v>3</v>
      </c>
      <c r="G101" s="1" t="s">
        <v>3</v>
      </c>
      <c r="H101" s="1" t="b">
        <v>0</v>
      </c>
      <c r="I101" s="1" t="b">
        <v>0</v>
      </c>
      <c r="J101" s="1" t="b">
        <v>0</v>
      </c>
      <c r="K101" s="1" t="s">
        <v>3</v>
      </c>
      <c r="L101" s="1"/>
      <c r="M101" s="1" t="str">
        <f>IF(AND(Table1[[#This Row],[Best Practice Recommendation Light]] &lt;&gt; Table1[[#This Row],[Enabled]], Table1[[#This Row],[Best Practice Recommendation Light]] &lt;&gt; ""), "Change Default","")</f>
        <v/>
      </c>
      <c r="N101" s="1" t="b">
        <v>1</v>
      </c>
      <c r="O101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02" spans="1:15" ht="42.75" x14ac:dyDescent="0.45">
      <c r="A102" s="1" t="s">
        <v>231</v>
      </c>
      <c r="B102" s="1" t="s">
        <v>232</v>
      </c>
      <c r="C102" s="1" t="b">
        <v>0</v>
      </c>
      <c r="D102" s="1" t="b">
        <v>0</v>
      </c>
      <c r="E102" s="1" t="s">
        <v>222</v>
      </c>
      <c r="F102" s="1" t="s">
        <v>3</v>
      </c>
      <c r="G102" s="1" t="s">
        <v>3</v>
      </c>
      <c r="H102" s="1" t="b">
        <v>0</v>
      </c>
      <c r="I102" s="1" t="b">
        <v>0</v>
      </c>
      <c r="J102" s="1" t="b">
        <v>0</v>
      </c>
      <c r="K102" s="1" t="s">
        <v>3</v>
      </c>
      <c r="L102" s="1"/>
      <c r="M102" s="1" t="str">
        <f>IF(AND(Table1[[#This Row],[Best Practice Recommendation Light]] &lt;&gt; Table1[[#This Row],[Enabled]], Table1[[#This Row],[Best Practice Recommendation Light]] &lt;&gt; ""), "Change Default","")</f>
        <v/>
      </c>
      <c r="N102" s="1" t="b">
        <v>1</v>
      </c>
      <c r="O102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03" spans="1:15" ht="42.75" x14ac:dyDescent="0.45">
      <c r="A103" s="1" t="s">
        <v>233</v>
      </c>
      <c r="B103" s="1" t="s">
        <v>234</v>
      </c>
      <c r="C103" s="1" t="b">
        <v>1</v>
      </c>
      <c r="D103" s="1" t="b">
        <v>0</v>
      </c>
      <c r="E103" s="1" t="s">
        <v>222</v>
      </c>
      <c r="F103" s="1" t="s">
        <v>3</v>
      </c>
      <c r="G103" s="1" t="s">
        <v>3</v>
      </c>
      <c r="H103" s="1" t="b">
        <v>0</v>
      </c>
      <c r="I103" s="1" t="b">
        <v>0</v>
      </c>
      <c r="J103" s="1" t="b">
        <v>0</v>
      </c>
      <c r="K103" s="1" t="s">
        <v>3</v>
      </c>
      <c r="L103" s="1"/>
      <c r="M103" s="1" t="str">
        <f>IF(AND(Table1[[#This Row],[Best Practice Recommendation Light]] &lt;&gt; Table1[[#This Row],[Enabled]], Table1[[#This Row],[Best Practice Recommendation Light]] &lt;&gt; ""), "Change Default","")</f>
        <v/>
      </c>
      <c r="N103" s="1" t="b">
        <v>1</v>
      </c>
      <c r="O103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04" spans="1:15" ht="28.5" x14ac:dyDescent="0.45">
      <c r="A104" s="1" t="s">
        <v>235</v>
      </c>
      <c r="B104" s="1" t="s">
        <v>236</v>
      </c>
      <c r="C104" s="1" t="b">
        <v>1</v>
      </c>
      <c r="D104" s="1" t="b">
        <v>1</v>
      </c>
      <c r="E104" s="1" t="s">
        <v>237</v>
      </c>
      <c r="F104" s="1" t="s">
        <v>3</v>
      </c>
      <c r="G104" s="1" t="s">
        <v>3</v>
      </c>
      <c r="H104" s="1" t="b">
        <v>0</v>
      </c>
      <c r="I104" s="1" t="b">
        <v>0</v>
      </c>
      <c r="J104" s="1" t="b">
        <v>0</v>
      </c>
      <c r="K104" s="1" t="s">
        <v>3</v>
      </c>
      <c r="L104" s="1"/>
      <c r="M104" s="1" t="str">
        <f>IF(AND(Table1[[#This Row],[Best Practice Recommendation Light]] &lt;&gt; Table1[[#This Row],[Enabled]], Table1[[#This Row],[Best Practice Recommendation Light]] &lt;&gt; ""), "Change Default","")</f>
        <v/>
      </c>
      <c r="N104" s="1"/>
      <c r="O104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05" spans="1:15" ht="28.5" x14ac:dyDescent="0.45">
      <c r="A105" s="1" t="s">
        <v>238</v>
      </c>
      <c r="B105" s="1" t="s">
        <v>239</v>
      </c>
      <c r="C105" s="1" t="b">
        <v>1</v>
      </c>
      <c r="D105" s="1" t="b">
        <v>1</v>
      </c>
      <c r="E105" s="1" t="s">
        <v>237</v>
      </c>
      <c r="F105" s="1" t="s">
        <v>3</v>
      </c>
      <c r="G105" s="1" t="s">
        <v>3</v>
      </c>
      <c r="H105" s="1" t="b">
        <v>0</v>
      </c>
      <c r="I105" s="1" t="b">
        <v>0</v>
      </c>
      <c r="J105" s="1" t="b">
        <v>0</v>
      </c>
      <c r="K105" s="1" t="s">
        <v>3</v>
      </c>
      <c r="L105" s="1"/>
      <c r="M105" s="1" t="str">
        <f>IF(AND(Table1[[#This Row],[Best Practice Recommendation Light]] &lt;&gt; Table1[[#This Row],[Enabled]], Table1[[#This Row],[Best Practice Recommendation Light]] &lt;&gt; ""), "Change Default","")</f>
        <v/>
      </c>
      <c r="N105" s="1"/>
      <c r="O105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06" spans="1:15" ht="28.5" x14ac:dyDescent="0.45">
      <c r="A106" s="1" t="s">
        <v>240</v>
      </c>
      <c r="B106" s="1" t="s">
        <v>241</v>
      </c>
      <c r="C106" s="1" t="b">
        <v>0</v>
      </c>
      <c r="D106" s="1" t="b">
        <v>1</v>
      </c>
      <c r="E106" s="1" t="s">
        <v>237</v>
      </c>
      <c r="F106" s="1" t="s">
        <v>3</v>
      </c>
      <c r="G106" s="1" t="s">
        <v>3</v>
      </c>
      <c r="H106" s="1" t="b">
        <v>0</v>
      </c>
      <c r="I106" s="1" t="b">
        <v>0</v>
      </c>
      <c r="J106" s="1" t="b">
        <v>0</v>
      </c>
      <c r="K106" s="1" t="s">
        <v>3</v>
      </c>
      <c r="L106" s="1"/>
      <c r="M106" s="1" t="str">
        <f>IF(AND(Table1[[#This Row],[Best Practice Recommendation Light]] &lt;&gt; Table1[[#This Row],[Enabled]], Table1[[#This Row],[Best Practice Recommendation Light]] &lt;&gt; ""), "Change Default","")</f>
        <v/>
      </c>
      <c r="N106" s="1" t="b">
        <v>0</v>
      </c>
      <c r="O106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07" spans="1:15" ht="28.5" x14ac:dyDescent="0.45">
      <c r="A107" s="1" t="s">
        <v>242</v>
      </c>
      <c r="B107" s="1" t="s">
        <v>243</v>
      </c>
      <c r="C107" s="1" t="b">
        <v>1</v>
      </c>
      <c r="D107" s="1" t="b">
        <v>0</v>
      </c>
      <c r="E107" s="1" t="s">
        <v>237</v>
      </c>
      <c r="F107" s="1" t="s">
        <v>3</v>
      </c>
      <c r="G107" s="1" t="s">
        <v>3</v>
      </c>
      <c r="H107" s="1" t="b">
        <v>0</v>
      </c>
      <c r="I107" s="1" t="b">
        <v>0</v>
      </c>
      <c r="J107" s="1" t="b">
        <v>0</v>
      </c>
      <c r="K107" s="1" t="s">
        <v>3</v>
      </c>
      <c r="L107" s="1"/>
      <c r="M107" s="1" t="str">
        <f>IF(AND(Table1[[#This Row],[Best Practice Recommendation Light]] &lt;&gt; Table1[[#This Row],[Enabled]], Table1[[#This Row],[Best Practice Recommendation Light]] &lt;&gt; ""), "Change Default","")</f>
        <v/>
      </c>
      <c r="N107" s="1" t="b">
        <v>0</v>
      </c>
      <c r="O107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08" spans="1:15" ht="28.5" x14ac:dyDescent="0.45">
      <c r="A108" s="1" t="s">
        <v>244</v>
      </c>
      <c r="B108" s="1" t="s">
        <v>245</v>
      </c>
      <c r="C108" s="1" t="b">
        <v>1</v>
      </c>
      <c r="D108" s="1" t="b">
        <v>0</v>
      </c>
      <c r="E108" s="1" t="s">
        <v>237</v>
      </c>
      <c r="F108" s="1" t="s">
        <v>3</v>
      </c>
      <c r="G108" s="1" t="s">
        <v>3</v>
      </c>
      <c r="H108" s="1" t="b">
        <v>0</v>
      </c>
      <c r="I108" s="1" t="b">
        <v>0</v>
      </c>
      <c r="J108" s="1" t="b">
        <v>0</v>
      </c>
      <c r="K108" s="1" t="s">
        <v>3</v>
      </c>
      <c r="L108" s="1"/>
      <c r="M108" s="1" t="str">
        <f>IF(AND(Table1[[#This Row],[Best Practice Recommendation Light]] &lt;&gt; Table1[[#This Row],[Enabled]], Table1[[#This Row],[Best Practice Recommendation Light]] &lt;&gt; ""), "Change Default","")</f>
        <v/>
      </c>
      <c r="N108" s="1" t="b">
        <v>0</v>
      </c>
      <c r="O108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09" spans="1:15" ht="28.5" x14ac:dyDescent="0.45">
      <c r="A109" s="1" t="s">
        <v>246</v>
      </c>
      <c r="B109" s="1" t="s">
        <v>247</v>
      </c>
      <c r="C109" s="1" t="b">
        <v>1</v>
      </c>
      <c r="D109" s="1" t="b">
        <v>0</v>
      </c>
      <c r="E109" s="1" t="s">
        <v>237</v>
      </c>
      <c r="F109" s="1" t="s">
        <v>3</v>
      </c>
      <c r="G109" s="1" t="s">
        <v>3</v>
      </c>
      <c r="H109" s="1" t="b">
        <v>0</v>
      </c>
      <c r="I109" s="1" t="b">
        <v>0</v>
      </c>
      <c r="J109" s="1" t="b">
        <v>0</v>
      </c>
      <c r="K109" s="1" t="s">
        <v>3</v>
      </c>
      <c r="L109" s="1"/>
      <c r="M109" s="1" t="str">
        <f>IF(AND(Table1[[#This Row],[Best Practice Recommendation Light]] &lt;&gt; Table1[[#This Row],[Enabled]], Table1[[#This Row],[Best Practice Recommendation Light]] &lt;&gt; ""), "Change Default","")</f>
        <v/>
      </c>
      <c r="N109" s="1" t="b">
        <v>0</v>
      </c>
      <c r="O109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10" spans="1:15" ht="57" x14ac:dyDescent="0.45">
      <c r="A110" s="1" t="s">
        <v>248</v>
      </c>
      <c r="B110" s="1" t="s">
        <v>249</v>
      </c>
      <c r="C110" s="1" t="b">
        <v>0</v>
      </c>
      <c r="D110" s="1" t="b">
        <v>0</v>
      </c>
      <c r="E110" s="1" t="s">
        <v>237</v>
      </c>
      <c r="F110" s="1" t="s">
        <v>3</v>
      </c>
      <c r="G110" s="1" t="s">
        <v>3</v>
      </c>
      <c r="H110" s="1" t="b">
        <v>0</v>
      </c>
      <c r="I110" s="1" t="b">
        <v>0</v>
      </c>
      <c r="J110" s="1" t="b">
        <v>0</v>
      </c>
      <c r="K110" s="1" t="s">
        <v>3</v>
      </c>
      <c r="L110" s="1"/>
      <c r="M110" s="1" t="str">
        <f>IF(AND(Table1[[#This Row],[Best Practice Recommendation Light]] &lt;&gt; Table1[[#This Row],[Enabled]], Table1[[#This Row],[Best Practice Recommendation Light]] &lt;&gt; ""), "Change Default","")</f>
        <v/>
      </c>
      <c r="N110" s="1" t="b">
        <v>0</v>
      </c>
      <c r="O110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11" spans="1:15" ht="28.5" x14ac:dyDescent="0.45">
      <c r="A111" s="1" t="s">
        <v>250</v>
      </c>
      <c r="B111" s="1" t="s">
        <v>251</v>
      </c>
      <c r="C111" s="1" t="b">
        <v>0</v>
      </c>
      <c r="D111" s="1" t="b">
        <v>0</v>
      </c>
      <c r="E111" s="1" t="s">
        <v>237</v>
      </c>
      <c r="F111" s="1" t="s">
        <v>3</v>
      </c>
      <c r="G111" s="1" t="s">
        <v>3</v>
      </c>
      <c r="H111" s="1" t="b">
        <v>0</v>
      </c>
      <c r="I111" s="1" t="b">
        <v>0</v>
      </c>
      <c r="J111" s="1" t="b">
        <v>0</v>
      </c>
      <c r="K111" s="1" t="s">
        <v>3</v>
      </c>
      <c r="L111" s="1"/>
      <c r="M111" s="1" t="str">
        <f>IF(AND(Table1[[#This Row],[Best Practice Recommendation Light]] &lt;&gt; Table1[[#This Row],[Enabled]], Table1[[#This Row],[Best Practice Recommendation Light]] &lt;&gt; ""), "Change Default","")</f>
        <v/>
      </c>
      <c r="N111" s="1" t="b">
        <v>0</v>
      </c>
      <c r="O111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12" spans="1:15" ht="28.5" x14ac:dyDescent="0.45">
      <c r="A112" s="1" t="s">
        <v>252</v>
      </c>
      <c r="B112" s="1" t="s">
        <v>253</v>
      </c>
      <c r="C112" s="1" t="b">
        <v>1</v>
      </c>
      <c r="D112" s="1" t="b">
        <v>0</v>
      </c>
      <c r="E112" s="1" t="s">
        <v>237</v>
      </c>
      <c r="F112" s="1" t="s">
        <v>3</v>
      </c>
      <c r="G112" s="1" t="s">
        <v>3</v>
      </c>
      <c r="H112" s="1" t="b">
        <v>0</v>
      </c>
      <c r="I112" s="1" t="b">
        <v>0</v>
      </c>
      <c r="J112" s="1" t="b">
        <v>0</v>
      </c>
      <c r="K112" s="1" t="s">
        <v>3</v>
      </c>
      <c r="L112" s="1"/>
      <c r="M112" s="1" t="str">
        <f>IF(AND(Table1[[#This Row],[Best Practice Recommendation Light]] &lt;&gt; Table1[[#This Row],[Enabled]], Table1[[#This Row],[Best Practice Recommendation Light]] &lt;&gt; ""), "Change Default","")</f>
        <v/>
      </c>
      <c r="N112" s="1" t="b">
        <v>0</v>
      </c>
      <c r="O112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13" spans="1:15" ht="28.5" x14ac:dyDescent="0.45">
      <c r="A113" s="1" t="s">
        <v>254</v>
      </c>
      <c r="B113" s="1" t="s">
        <v>255</v>
      </c>
      <c r="C113" s="1" t="b">
        <v>1</v>
      </c>
      <c r="D113" s="1" t="b">
        <v>1</v>
      </c>
      <c r="E113" s="1" t="s">
        <v>237</v>
      </c>
      <c r="F113" s="1" t="s">
        <v>3</v>
      </c>
      <c r="G113" s="1" t="s">
        <v>3</v>
      </c>
      <c r="H113" s="1" t="b">
        <v>0</v>
      </c>
      <c r="I113" s="1" t="b">
        <v>0</v>
      </c>
      <c r="J113" s="1" t="b">
        <v>0</v>
      </c>
      <c r="K113" s="1" t="s">
        <v>3</v>
      </c>
      <c r="L113" s="1"/>
      <c r="M113" s="1" t="str">
        <f>IF(AND(Table1[[#This Row],[Best Practice Recommendation Light]] &lt;&gt; Table1[[#This Row],[Enabled]], Table1[[#This Row],[Best Practice Recommendation Light]] &lt;&gt; ""), "Change Default","")</f>
        <v/>
      </c>
      <c r="N113" s="1"/>
      <c r="O113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14" spans="1:15" ht="28.5" x14ac:dyDescent="0.45">
      <c r="A114" s="1" t="s">
        <v>256</v>
      </c>
      <c r="B114" s="1" t="s">
        <v>257</v>
      </c>
      <c r="C114" s="1" t="b">
        <v>0</v>
      </c>
      <c r="D114" s="1" t="b">
        <v>0</v>
      </c>
      <c r="E114" s="1" t="s">
        <v>237</v>
      </c>
      <c r="F114" s="1" t="s">
        <v>3</v>
      </c>
      <c r="G114" s="1" t="s">
        <v>3</v>
      </c>
      <c r="H114" s="1" t="b">
        <v>0</v>
      </c>
      <c r="I114" s="1" t="b">
        <v>0</v>
      </c>
      <c r="J114" s="1" t="b">
        <v>0</v>
      </c>
      <c r="K114" s="1" t="s">
        <v>3</v>
      </c>
      <c r="L114" s="1"/>
      <c r="M114" s="1" t="str">
        <f>IF(AND(Table1[[#This Row],[Best Practice Recommendation Light]] &lt;&gt; Table1[[#This Row],[Enabled]], Table1[[#This Row],[Best Practice Recommendation Light]] &lt;&gt; ""), "Change Default","")</f>
        <v/>
      </c>
      <c r="N114" s="1" t="b">
        <v>0</v>
      </c>
      <c r="O114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15" spans="1:15" ht="28.5" x14ac:dyDescent="0.45">
      <c r="A115" s="1" t="s">
        <v>258</v>
      </c>
      <c r="B115" s="1" t="s">
        <v>259</v>
      </c>
      <c r="C115" s="1" t="b">
        <v>0</v>
      </c>
      <c r="D115" s="1" t="b">
        <v>0</v>
      </c>
      <c r="E115" s="1" t="s">
        <v>237</v>
      </c>
      <c r="F115" s="1" t="s">
        <v>3</v>
      </c>
      <c r="G115" s="1" t="s">
        <v>3</v>
      </c>
      <c r="H115" s="1" t="b">
        <v>0</v>
      </c>
      <c r="I115" s="1" t="b">
        <v>0</v>
      </c>
      <c r="J115" s="1" t="b">
        <v>0</v>
      </c>
      <c r="K115" s="1" t="s">
        <v>3</v>
      </c>
      <c r="L115" s="1"/>
      <c r="M115" s="1" t="str">
        <f>IF(AND(Table1[[#This Row],[Best Practice Recommendation Light]] &lt;&gt; Table1[[#This Row],[Enabled]], Table1[[#This Row],[Best Practice Recommendation Light]] &lt;&gt; ""), "Change Default","")</f>
        <v/>
      </c>
      <c r="N115" s="1" t="b">
        <v>0</v>
      </c>
      <c r="O115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16" spans="1:15" ht="28.5" x14ac:dyDescent="0.45">
      <c r="A116" s="1" t="s">
        <v>260</v>
      </c>
      <c r="B116" s="1" t="s">
        <v>261</v>
      </c>
      <c r="C116" s="1" t="b">
        <v>0</v>
      </c>
      <c r="D116" s="1" t="b">
        <v>0</v>
      </c>
      <c r="E116" s="1" t="s">
        <v>237</v>
      </c>
      <c r="F116" s="1" t="s">
        <v>3</v>
      </c>
      <c r="G116" s="1" t="s">
        <v>3</v>
      </c>
      <c r="H116" s="1" t="b">
        <v>0</v>
      </c>
      <c r="I116" s="1" t="b">
        <v>0</v>
      </c>
      <c r="J116" s="1" t="b">
        <v>0</v>
      </c>
      <c r="K116" s="1" t="s">
        <v>3</v>
      </c>
      <c r="L116" s="1"/>
      <c r="M116" s="1" t="str">
        <f>IF(AND(Table1[[#This Row],[Best Practice Recommendation Light]] &lt;&gt; Table1[[#This Row],[Enabled]], Table1[[#This Row],[Best Practice Recommendation Light]] &lt;&gt; ""), "Change Default","")</f>
        <v/>
      </c>
      <c r="N116" s="1" t="b">
        <v>0</v>
      </c>
      <c r="O116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17" spans="1:15" ht="28.5" x14ac:dyDescent="0.45">
      <c r="A117" s="1" t="s">
        <v>262</v>
      </c>
      <c r="B117" s="1" t="s">
        <v>263</v>
      </c>
      <c r="C117" s="1" t="b">
        <v>0</v>
      </c>
      <c r="D117" s="1" t="b">
        <v>0</v>
      </c>
      <c r="E117" s="1" t="s">
        <v>237</v>
      </c>
      <c r="F117" s="1" t="s">
        <v>3</v>
      </c>
      <c r="G117" s="1" t="s">
        <v>3</v>
      </c>
      <c r="H117" s="1" t="b">
        <v>0</v>
      </c>
      <c r="I117" s="1" t="b">
        <v>0</v>
      </c>
      <c r="J117" s="1" t="b">
        <v>0</v>
      </c>
      <c r="K117" s="1" t="s">
        <v>3</v>
      </c>
      <c r="L117" s="1"/>
      <c r="M117" s="1" t="str">
        <f>IF(AND(Table1[[#This Row],[Best Practice Recommendation Light]] &lt;&gt; Table1[[#This Row],[Enabled]], Table1[[#This Row],[Best Practice Recommendation Light]] &lt;&gt; ""), "Change Default","")</f>
        <v/>
      </c>
      <c r="N117" s="1" t="b">
        <v>0</v>
      </c>
      <c r="O117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18" spans="1:15" ht="28.5" x14ac:dyDescent="0.45">
      <c r="A118" s="1" t="s">
        <v>264</v>
      </c>
      <c r="B118" s="1" t="s">
        <v>265</v>
      </c>
      <c r="C118" s="1" t="b">
        <v>0</v>
      </c>
      <c r="D118" s="1" t="b">
        <v>0</v>
      </c>
      <c r="E118" s="1" t="s">
        <v>237</v>
      </c>
      <c r="F118" s="1" t="s">
        <v>3</v>
      </c>
      <c r="G118" s="1" t="s">
        <v>3</v>
      </c>
      <c r="H118" s="1" t="b">
        <v>0</v>
      </c>
      <c r="I118" s="1" t="b">
        <v>0</v>
      </c>
      <c r="J118" s="1" t="b">
        <v>0</v>
      </c>
      <c r="K118" s="1" t="s">
        <v>3</v>
      </c>
      <c r="L118" s="1"/>
      <c r="M118" s="1" t="str">
        <f>IF(AND(Table1[[#This Row],[Best Practice Recommendation Light]] &lt;&gt; Table1[[#This Row],[Enabled]], Table1[[#This Row],[Best Practice Recommendation Light]] &lt;&gt; ""), "Change Default","")</f>
        <v/>
      </c>
      <c r="N118" s="1" t="b">
        <v>0</v>
      </c>
      <c r="O118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19" spans="1:15" ht="28.5" x14ac:dyDescent="0.45">
      <c r="A119" s="1" t="s">
        <v>266</v>
      </c>
      <c r="B119" s="1" t="s">
        <v>267</v>
      </c>
      <c r="C119" s="1" t="b">
        <v>0</v>
      </c>
      <c r="D119" s="1" t="b">
        <v>0</v>
      </c>
      <c r="E119" s="1" t="s">
        <v>237</v>
      </c>
      <c r="F119" s="1" t="s">
        <v>3</v>
      </c>
      <c r="G119" s="1" t="s">
        <v>3</v>
      </c>
      <c r="H119" s="1" t="b">
        <v>0</v>
      </c>
      <c r="I119" s="1" t="b">
        <v>0</v>
      </c>
      <c r="J119" s="1" t="b">
        <v>0</v>
      </c>
      <c r="K119" s="1" t="s">
        <v>3</v>
      </c>
      <c r="L119" s="1"/>
      <c r="M119" s="1" t="str">
        <f>IF(AND(Table1[[#This Row],[Best Practice Recommendation Light]] &lt;&gt; Table1[[#This Row],[Enabled]], Table1[[#This Row],[Best Practice Recommendation Light]] &lt;&gt; ""), "Change Default","")</f>
        <v/>
      </c>
      <c r="N119" s="1" t="b">
        <v>0</v>
      </c>
      <c r="O119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20" spans="1:15" ht="28.5" x14ac:dyDescent="0.45">
      <c r="A120" s="1" t="s">
        <v>268</v>
      </c>
      <c r="B120" s="1" t="s">
        <v>269</v>
      </c>
      <c r="C120" s="1" t="b">
        <v>0</v>
      </c>
      <c r="D120" s="1" t="b">
        <v>0</v>
      </c>
      <c r="E120" s="1" t="s">
        <v>237</v>
      </c>
      <c r="F120" s="1" t="s">
        <v>3</v>
      </c>
      <c r="G120" s="1" t="s">
        <v>3</v>
      </c>
      <c r="H120" s="1" t="b">
        <v>0</v>
      </c>
      <c r="I120" s="1" t="b">
        <v>0</v>
      </c>
      <c r="J120" s="1" t="b">
        <v>0</v>
      </c>
      <c r="K120" s="1" t="s">
        <v>3</v>
      </c>
      <c r="L120" s="1"/>
      <c r="M120" s="1" t="str">
        <f>IF(AND(Table1[[#This Row],[Best Practice Recommendation Light]] &lt;&gt; Table1[[#This Row],[Enabled]], Table1[[#This Row],[Best Practice Recommendation Light]] &lt;&gt; ""), "Change Default","")</f>
        <v/>
      </c>
      <c r="N120" s="1" t="b">
        <v>0</v>
      </c>
      <c r="O120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21" spans="1:15" ht="28.5" x14ac:dyDescent="0.45">
      <c r="A121" s="1" t="s">
        <v>270</v>
      </c>
      <c r="B121" s="1" t="s">
        <v>271</v>
      </c>
      <c r="C121" s="1" t="b">
        <v>1</v>
      </c>
      <c r="D121" s="1" t="b">
        <v>0</v>
      </c>
      <c r="E121" s="1" t="s">
        <v>237</v>
      </c>
      <c r="F121" s="1" t="s">
        <v>3</v>
      </c>
      <c r="G121" s="1" t="s">
        <v>3</v>
      </c>
      <c r="H121" s="1" t="b">
        <v>0</v>
      </c>
      <c r="I121" s="1" t="b">
        <v>0</v>
      </c>
      <c r="J121" s="1" t="b">
        <v>0</v>
      </c>
      <c r="K121" s="1" t="s">
        <v>3</v>
      </c>
      <c r="L121" s="1"/>
      <c r="M121" s="1" t="str">
        <f>IF(AND(Table1[[#This Row],[Best Practice Recommendation Light]] &lt;&gt; Table1[[#This Row],[Enabled]], Table1[[#This Row],[Best Practice Recommendation Light]] &lt;&gt; ""), "Change Default","")</f>
        <v/>
      </c>
      <c r="N121" s="1"/>
      <c r="O121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22" spans="1:15" ht="42.75" x14ac:dyDescent="0.45">
      <c r="A122" s="1" t="s">
        <v>272</v>
      </c>
      <c r="B122" s="1" t="s">
        <v>273</v>
      </c>
      <c r="C122" s="1" t="b">
        <v>1</v>
      </c>
      <c r="D122" s="1" t="b">
        <v>0</v>
      </c>
      <c r="E122" s="1" t="s">
        <v>237</v>
      </c>
      <c r="F122" s="1" t="s">
        <v>3</v>
      </c>
      <c r="G122" s="1" t="s">
        <v>3</v>
      </c>
      <c r="H122" s="1" t="b">
        <v>0</v>
      </c>
      <c r="I122" s="1" t="b">
        <v>0</v>
      </c>
      <c r="J122" s="1" t="b">
        <v>0</v>
      </c>
      <c r="K122" s="1" t="s">
        <v>3</v>
      </c>
      <c r="L122" s="1"/>
      <c r="M122" s="1" t="str">
        <f>IF(AND(Table1[[#This Row],[Best Practice Recommendation Light]] &lt;&gt; Table1[[#This Row],[Enabled]], Table1[[#This Row],[Best Practice Recommendation Light]] &lt;&gt; ""), "Change Default","")</f>
        <v/>
      </c>
      <c r="N122" s="1"/>
      <c r="O122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23" spans="1:15" ht="28.5" x14ac:dyDescent="0.45">
      <c r="A123" s="1" t="s">
        <v>274</v>
      </c>
      <c r="B123" s="1" t="s">
        <v>275</v>
      </c>
      <c r="C123" s="1" t="b">
        <v>0</v>
      </c>
      <c r="D123" s="1" t="b">
        <v>0</v>
      </c>
      <c r="E123" s="1" t="s">
        <v>237</v>
      </c>
      <c r="F123" s="1" t="s">
        <v>3</v>
      </c>
      <c r="G123" s="1" t="s">
        <v>3</v>
      </c>
      <c r="H123" s="1" t="b">
        <v>0</v>
      </c>
      <c r="I123" s="1" t="b">
        <v>0</v>
      </c>
      <c r="J123" s="1" t="b">
        <v>0</v>
      </c>
      <c r="K123" s="1" t="s">
        <v>3</v>
      </c>
      <c r="L123" s="1"/>
      <c r="M123" s="1" t="str">
        <f>IF(AND(Table1[[#This Row],[Best Practice Recommendation Light]] &lt;&gt; Table1[[#This Row],[Enabled]], Table1[[#This Row],[Best Practice Recommendation Light]] &lt;&gt; ""), "Change Default","")</f>
        <v/>
      </c>
      <c r="N123" s="1" t="b">
        <v>1</v>
      </c>
      <c r="O123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24" spans="1:15" ht="28.5" x14ac:dyDescent="0.45">
      <c r="A124" s="1" t="s">
        <v>276</v>
      </c>
      <c r="B124" s="1" t="s">
        <v>277</v>
      </c>
      <c r="C124" s="1" t="b">
        <v>1</v>
      </c>
      <c r="D124" s="1" t="b">
        <v>0</v>
      </c>
      <c r="E124" s="1" t="s">
        <v>237</v>
      </c>
      <c r="F124" s="1" t="s">
        <v>3</v>
      </c>
      <c r="G124" s="1" t="s">
        <v>3</v>
      </c>
      <c r="H124" s="1" t="b">
        <v>0</v>
      </c>
      <c r="I124" s="1" t="b">
        <v>0</v>
      </c>
      <c r="J124" s="1" t="b">
        <v>0</v>
      </c>
      <c r="K124" s="1" t="s">
        <v>3</v>
      </c>
      <c r="L124" s="1"/>
      <c r="M124" s="1" t="str">
        <f>IF(AND(Table1[[#This Row],[Best Practice Recommendation Light]] &lt;&gt; Table1[[#This Row],[Enabled]], Table1[[#This Row],[Best Practice Recommendation Light]] &lt;&gt; ""), "Change Default","")</f>
        <v/>
      </c>
      <c r="N124" s="1" t="b">
        <v>0</v>
      </c>
      <c r="O124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25" spans="1:15" ht="42.75" x14ac:dyDescent="0.45">
      <c r="A125" s="1" t="s">
        <v>278</v>
      </c>
      <c r="B125" s="1" t="s">
        <v>279</v>
      </c>
      <c r="C125" s="1" t="b">
        <v>1</v>
      </c>
      <c r="D125" s="1" t="b">
        <v>0</v>
      </c>
      <c r="E125" s="1" t="s">
        <v>237</v>
      </c>
      <c r="F125" s="1" t="s">
        <v>3</v>
      </c>
      <c r="G125" s="1" t="s">
        <v>3</v>
      </c>
      <c r="H125" s="1" t="b">
        <v>0</v>
      </c>
      <c r="I125" s="1" t="b">
        <v>0</v>
      </c>
      <c r="J125" s="1" t="b">
        <v>0</v>
      </c>
      <c r="K125" s="1" t="s">
        <v>3</v>
      </c>
      <c r="L125" s="1"/>
      <c r="M125" s="1" t="str">
        <f>IF(AND(Table1[[#This Row],[Best Practice Recommendation Light]] &lt;&gt; Table1[[#This Row],[Enabled]], Table1[[#This Row],[Best Practice Recommendation Light]] &lt;&gt; ""), "Change Default","")</f>
        <v/>
      </c>
      <c r="N125" s="1"/>
      <c r="O125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26" spans="1:15" ht="28.5" x14ac:dyDescent="0.45">
      <c r="A126" s="1" t="s">
        <v>280</v>
      </c>
      <c r="B126" s="1" t="s">
        <v>281</v>
      </c>
      <c r="C126" s="1" t="b">
        <v>0</v>
      </c>
      <c r="D126" s="1" t="b">
        <v>0</v>
      </c>
      <c r="E126" s="1" t="s">
        <v>237</v>
      </c>
      <c r="F126" s="1" t="s">
        <v>3</v>
      </c>
      <c r="G126" s="1" t="s">
        <v>3</v>
      </c>
      <c r="H126" s="1" t="b">
        <v>1</v>
      </c>
      <c r="I126" s="1" t="b">
        <v>0</v>
      </c>
      <c r="J126" s="1" t="b">
        <v>0</v>
      </c>
      <c r="K126" s="1" t="s">
        <v>3</v>
      </c>
      <c r="L126" s="1"/>
      <c r="M126" s="1" t="str">
        <f>IF(AND(Table1[[#This Row],[Best Practice Recommendation Light]] &lt;&gt; Table1[[#This Row],[Enabled]], Table1[[#This Row],[Best Practice Recommendation Light]] &lt;&gt; ""), "Change Default","")</f>
        <v/>
      </c>
      <c r="N126" s="1" t="b">
        <v>0</v>
      </c>
      <c r="O126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27" spans="1:15" ht="28.5" x14ac:dyDescent="0.45">
      <c r="A127" s="1" t="s">
        <v>282</v>
      </c>
      <c r="B127" s="1" t="s">
        <v>283</v>
      </c>
      <c r="C127" s="1" t="b">
        <v>1</v>
      </c>
      <c r="D127" s="1" t="b">
        <v>0</v>
      </c>
      <c r="E127" s="1" t="s">
        <v>237</v>
      </c>
      <c r="F127" s="1" t="s">
        <v>3</v>
      </c>
      <c r="G127" s="1" t="s">
        <v>3</v>
      </c>
      <c r="H127" s="1" t="b">
        <v>0</v>
      </c>
      <c r="I127" s="1" t="b">
        <v>0</v>
      </c>
      <c r="J127" s="1" t="b">
        <v>0</v>
      </c>
      <c r="K127" s="1" t="s">
        <v>3</v>
      </c>
      <c r="L127" s="1"/>
      <c r="M127" s="1" t="str">
        <f>IF(AND(Table1[[#This Row],[Best Practice Recommendation Light]] &lt;&gt; Table1[[#This Row],[Enabled]], Table1[[#This Row],[Best Practice Recommendation Light]] &lt;&gt; ""), "Change Default","")</f>
        <v/>
      </c>
      <c r="N127" s="1" t="b">
        <v>0</v>
      </c>
      <c r="O127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28" spans="1:15" ht="85.5" x14ac:dyDescent="0.45">
      <c r="A128" s="1" t="s">
        <v>284</v>
      </c>
      <c r="B128" s="1" t="s">
        <v>285</v>
      </c>
      <c r="C128" s="1" t="b">
        <v>1</v>
      </c>
      <c r="D128" s="1" t="b">
        <v>0</v>
      </c>
      <c r="E128" s="1" t="s">
        <v>286</v>
      </c>
      <c r="F128" s="1" t="s">
        <v>3</v>
      </c>
      <c r="G128" s="1" t="s">
        <v>3</v>
      </c>
      <c r="H128" s="1" t="b">
        <v>0</v>
      </c>
      <c r="I128" s="1" t="b">
        <v>0</v>
      </c>
      <c r="J128" s="1" t="b">
        <v>0</v>
      </c>
      <c r="K128" s="1" t="s">
        <v>287</v>
      </c>
      <c r="L128" s="1"/>
      <c r="M128" s="1" t="str">
        <f>IF(AND(Table1[[#This Row],[Best Practice Recommendation Light]] &lt;&gt; Table1[[#This Row],[Enabled]], Table1[[#This Row],[Best Practice Recommendation Light]] &lt;&gt; ""), "Change Default","")</f>
        <v/>
      </c>
      <c r="N128" s="1" t="b">
        <v>0</v>
      </c>
      <c r="O128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29" spans="1:15" ht="28.5" x14ac:dyDescent="0.45">
      <c r="A129" s="1" t="s">
        <v>288</v>
      </c>
      <c r="B129" s="1" t="s">
        <v>289</v>
      </c>
      <c r="C129" s="1" t="b">
        <v>1</v>
      </c>
      <c r="D129" s="1" t="b">
        <v>1</v>
      </c>
      <c r="E129" s="1" t="s">
        <v>290</v>
      </c>
      <c r="F129" s="1" t="s">
        <v>3</v>
      </c>
      <c r="G129" s="1" t="s">
        <v>3</v>
      </c>
      <c r="H129" s="1" t="b">
        <v>1</v>
      </c>
      <c r="I129" s="1" t="b">
        <v>0</v>
      </c>
      <c r="J129" s="1" t="b">
        <v>0</v>
      </c>
      <c r="K129" s="1" t="s">
        <v>3</v>
      </c>
      <c r="L129" s="1"/>
      <c r="M129" s="1" t="str">
        <f>IF(AND(Table1[[#This Row],[Best Practice Recommendation Light]] &lt;&gt; Table1[[#This Row],[Enabled]], Table1[[#This Row],[Best Practice Recommendation Light]] &lt;&gt; ""), "Change Default","")</f>
        <v/>
      </c>
      <c r="N129" s="1"/>
      <c r="O129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30" spans="1:15" ht="28.5" x14ac:dyDescent="0.45">
      <c r="A130" s="1" t="s">
        <v>291</v>
      </c>
      <c r="B130" s="1" t="s">
        <v>292</v>
      </c>
      <c r="C130" s="1" t="b">
        <v>0</v>
      </c>
      <c r="D130" s="1" t="b">
        <v>1</v>
      </c>
      <c r="E130" s="1" t="s">
        <v>290</v>
      </c>
      <c r="F130" s="1" t="s">
        <v>3</v>
      </c>
      <c r="G130" s="1" t="s">
        <v>3</v>
      </c>
      <c r="H130" s="1" t="b">
        <v>1</v>
      </c>
      <c r="I130" s="1" t="b">
        <v>0</v>
      </c>
      <c r="J130" s="1" t="b">
        <v>0</v>
      </c>
      <c r="K130" s="1" t="s">
        <v>3</v>
      </c>
      <c r="L130" s="1"/>
      <c r="M130" s="1" t="str">
        <f>IF(AND(Table1[[#This Row],[Best Practice Recommendation Light]] &lt;&gt; Table1[[#This Row],[Enabled]], Table1[[#This Row],[Best Practice Recommendation Light]] &lt;&gt; ""), "Change Default","")</f>
        <v/>
      </c>
      <c r="N130" s="1" t="b">
        <v>0</v>
      </c>
      <c r="O130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31" spans="1:15" ht="28.5" x14ac:dyDescent="0.45">
      <c r="A131" s="1" t="s">
        <v>293</v>
      </c>
      <c r="B131" s="1" t="s">
        <v>294</v>
      </c>
      <c r="C131" s="1" t="b">
        <v>1</v>
      </c>
      <c r="D131" s="1" t="b">
        <v>1</v>
      </c>
      <c r="E131" s="1" t="s">
        <v>290</v>
      </c>
      <c r="F131" s="1" t="s">
        <v>3</v>
      </c>
      <c r="G131" s="1" t="s">
        <v>3</v>
      </c>
      <c r="H131" s="1" t="b">
        <v>1</v>
      </c>
      <c r="I131" s="1" t="b">
        <v>0</v>
      </c>
      <c r="J131" s="1" t="b">
        <v>0</v>
      </c>
      <c r="K131" s="1" t="s">
        <v>3</v>
      </c>
      <c r="L131" s="1"/>
      <c r="M131" s="1" t="str">
        <f>IF(AND(Table1[[#This Row],[Best Practice Recommendation Light]] &lt;&gt; Table1[[#This Row],[Enabled]], Table1[[#This Row],[Best Practice Recommendation Light]] &lt;&gt; ""), "Change Default","")</f>
        <v/>
      </c>
      <c r="N131" s="1"/>
      <c r="O131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32" spans="1:15" ht="28.5" x14ac:dyDescent="0.45">
      <c r="A132" s="1" t="s">
        <v>295</v>
      </c>
      <c r="B132" s="1" t="s">
        <v>296</v>
      </c>
      <c r="C132" s="1" t="b">
        <v>0</v>
      </c>
      <c r="D132" s="1" t="b">
        <v>1</v>
      </c>
      <c r="E132" s="1" t="s">
        <v>290</v>
      </c>
      <c r="F132" s="1" t="s">
        <v>3</v>
      </c>
      <c r="G132" s="1" t="s">
        <v>3</v>
      </c>
      <c r="H132" s="1" t="b">
        <v>1</v>
      </c>
      <c r="I132" s="1" t="b">
        <v>0</v>
      </c>
      <c r="J132" s="1" t="b">
        <v>0</v>
      </c>
      <c r="K132" s="1" t="s">
        <v>3</v>
      </c>
      <c r="L132" s="1"/>
      <c r="M132" s="1" t="str">
        <f>IF(AND(Table1[[#This Row],[Best Practice Recommendation Light]] &lt;&gt; Table1[[#This Row],[Enabled]], Table1[[#This Row],[Best Practice Recommendation Light]] &lt;&gt; ""), "Change Default","")</f>
        <v/>
      </c>
      <c r="N132" s="1" t="b">
        <v>0</v>
      </c>
      <c r="O132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33" spans="1:15" ht="28.5" x14ac:dyDescent="0.45">
      <c r="A133" s="1" t="s">
        <v>297</v>
      </c>
      <c r="B133" s="1" t="s">
        <v>298</v>
      </c>
      <c r="C133" s="1" t="b">
        <v>0</v>
      </c>
      <c r="D133" s="1" t="b">
        <v>1</v>
      </c>
      <c r="E133" s="1" t="s">
        <v>290</v>
      </c>
      <c r="F133" s="1" t="s">
        <v>3</v>
      </c>
      <c r="G133" s="1" t="s">
        <v>3</v>
      </c>
      <c r="H133" s="1" t="b">
        <v>0</v>
      </c>
      <c r="I133" s="1" t="b">
        <v>0</v>
      </c>
      <c r="J133" s="1" t="b">
        <v>0</v>
      </c>
      <c r="K133" s="1" t="s">
        <v>3</v>
      </c>
      <c r="L133" s="1"/>
      <c r="M133" s="1" t="str">
        <f>IF(AND(Table1[[#This Row],[Best Practice Recommendation Light]] &lt;&gt; Table1[[#This Row],[Enabled]], Table1[[#This Row],[Best Practice Recommendation Light]] &lt;&gt; ""), "Change Default","")</f>
        <v/>
      </c>
      <c r="N133" s="1"/>
      <c r="O133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34" spans="1:15" ht="28.5" x14ac:dyDescent="0.45">
      <c r="A134" s="1" t="s">
        <v>299</v>
      </c>
      <c r="B134" s="1" t="s">
        <v>300</v>
      </c>
      <c r="C134" s="1" t="b">
        <v>1</v>
      </c>
      <c r="D134" s="1" t="b">
        <v>0</v>
      </c>
      <c r="E134" s="1" t="s">
        <v>290</v>
      </c>
      <c r="F134" s="1" t="s">
        <v>3</v>
      </c>
      <c r="G134" s="1" t="s">
        <v>3</v>
      </c>
      <c r="H134" s="1" t="b">
        <v>0</v>
      </c>
      <c r="I134" s="1" t="b">
        <v>0</v>
      </c>
      <c r="J134" s="1" t="b">
        <v>0</v>
      </c>
      <c r="K134" s="1" t="s">
        <v>3</v>
      </c>
      <c r="L134" s="1"/>
      <c r="M134" s="1" t="str">
        <f>IF(AND(Table1[[#This Row],[Best Practice Recommendation Light]] &lt;&gt; Table1[[#This Row],[Enabled]], Table1[[#This Row],[Best Practice Recommendation Light]] &lt;&gt; ""), "Change Default","")</f>
        <v/>
      </c>
      <c r="N134" s="1" t="b">
        <v>0</v>
      </c>
      <c r="O134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35" spans="1:15" ht="42.75" x14ac:dyDescent="0.45">
      <c r="A135" s="1" t="s">
        <v>301</v>
      </c>
      <c r="B135" s="1" t="s">
        <v>302</v>
      </c>
      <c r="C135" s="1" t="b">
        <v>1</v>
      </c>
      <c r="D135" s="1" t="b">
        <v>0</v>
      </c>
      <c r="E135" s="1" t="s">
        <v>290</v>
      </c>
      <c r="F135" s="1" t="s">
        <v>3</v>
      </c>
      <c r="G135" s="1" t="s">
        <v>3</v>
      </c>
      <c r="H135" s="1" t="b">
        <v>0</v>
      </c>
      <c r="I135" s="1" t="b">
        <v>0</v>
      </c>
      <c r="J135" s="1" t="b">
        <v>0</v>
      </c>
      <c r="K135" s="1" t="s">
        <v>3</v>
      </c>
      <c r="L135" s="1"/>
      <c r="M135" s="1" t="str">
        <f>IF(AND(Table1[[#This Row],[Best Practice Recommendation Light]] &lt;&gt; Table1[[#This Row],[Enabled]], Table1[[#This Row],[Best Practice Recommendation Light]] &lt;&gt; ""), "Change Default","")</f>
        <v/>
      </c>
      <c r="N135" s="1"/>
      <c r="O135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36" spans="1:15" ht="28.5" x14ac:dyDescent="0.45">
      <c r="A136" s="1" t="s">
        <v>303</v>
      </c>
      <c r="B136" s="1" t="s">
        <v>304</v>
      </c>
      <c r="C136" s="1" t="b">
        <v>1</v>
      </c>
      <c r="D136" s="1" t="b">
        <v>1</v>
      </c>
      <c r="E136" s="1" t="s">
        <v>290</v>
      </c>
      <c r="F136" s="1" t="s">
        <v>3</v>
      </c>
      <c r="G136" s="1" t="s">
        <v>3</v>
      </c>
      <c r="H136" s="1" t="b">
        <v>0</v>
      </c>
      <c r="I136" s="1" t="b">
        <v>0</v>
      </c>
      <c r="J136" s="1" t="b">
        <v>0</v>
      </c>
      <c r="K136" s="1" t="s">
        <v>3</v>
      </c>
      <c r="L136" s="1"/>
      <c r="M136" s="1" t="str">
        <f>IF(AND(Table1[[#This Row],[Best Practice Recommendation Light]] &lt;&gt; Table1[[#This Row],[Enabled]], Table1[[#This Row],[Best Practice Recommendation Light]] &lt;&gt; ""), "Change Default","")</f>
        <v/>
      </c>
      <c r="N136" s="1" t="b">
        <v>0</v>
      </c>
      <c r="O136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37" spans="1:15" ht="28.5" x14ac:dyDescent="0.45">
      <c r="A137" s="1" t="s">
        <v>305</v>
      </c>
      <c r="B137" s="1" t="s">
        <v>306</v>
      </c>
      <c r="C137" s="1" t="b">
        <v>0</v>
      </c>
      <c r="D137" s="1" t="b">
        <v>1</v>
      </c>
      <c r="E137" s="1" t="s">
        <v>290</v>
      </c>
      <c r="F137" s="1" t="s">
        <v>3</v>
      </c>
      <c r="G137" s="1" t="s">
        <v>3</v>
      </c>
      <c r="H137" s="1" t="b">
        <v>0</v>
      </c>
      <c r="I137" s="1" t="b">
        <v>0</v>
      </c>
      <c r="J137" s="1" t="b">
        <v>0</v>
      </c>
      <c r="K137" s="1" t="s">
        <v>3</v>
      </c>
      <c r="L137" s="1"/>
      <c r="M137" s="1" t="str">
        <f>IF(AND(Table1[[#This Row],[Best Practice Recommendation Light]] &lt;&gt; Table1[[#This Row],[Enabled]], Table1[[#This Row],[Best Practice Recommendation Light]] &lt;&gt; ""), "Change Default","")</f>
        <v/>
      </c>
      <c r="N137" s="1" t="b">
        <v>0</v>
      </c>
      <c r="O137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38" spans="1:15" ht="28.5" x14ac:dyDescent="0.45">
      <c r="A138" s="1" t="s">
        <v>307</v>
      </c>
      <c r="B138" s="1" t="s">
        <v>308</v>
      </c>
      <c r="C138" s="1" t="b">
        <v>1</v>
      </c>
      <c r="D138" s="1" t="b">
        <v>1</v>
      </c>
      <c r="E138" s="1" t="s">
        <v>290</v>
      </c>
      <c r="F138" s="1" t="s">
        <v>3</v>
      </c>
      <c r="G138" s="1" t="s">
        <v>3</v>
      </c>
      <c r="H138" s="1" t="b">
        <v>0</v>
      </c>
      <c r="I138" s="1" t="b">
        <v>0</v>
      </c>
      <c r="J138" s="1" t="b">
        <v>0</v>
      </c>
      <c r="K138" s="1" t="s">
        <v>3</v>
      </c>
      <c r="L138" s="1"/>
      <c r="M138" s="1" t="str">
        <f>IF(AND(Table1[[#This Row],[Best Practice Recommendation Light]] &lt;&gt; Table1[[#This Row],[Enabled]], Table1[[#This Row],[Best Practice Recommendation Light]] &lt;&gt; ""), "Change Default","")</f>
        <v/>
      </c>
      <c r="N138" s="1"/>
      <c r="O138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39" spans="1:15" ht="28.5" x14ac:dyDescent="0.45">
      <c r="A139" s="1" t="s">
        <v>309</v>
      </c>
      <c r="B139" s="1" t="s">
        <v>310</v>
      </c>
      <c r="C139" s="1" t="b">
        <v>1</v>
      </c>
      <c r="D139" s="1" t="b">
        <v>1</v>
      </c>
      <c r="E139" s="1" t="s">
        <v>290</v>
      </c>
      <c r="F139" s="1" t="s">
        <v>3</v>
      </c>
      <c r="G139" s="1" t="s">
        <v>3</v>
      </c>
      <c r="H139" s="1" t="b">
        <v>0</v>
      </c>
      <c r="I139" s="1" t="b">
        <v>0</v>
      </c>
      <c r="J139" s="1" t="b">
        <v>0</v>
      </c>
      <c r="K139" s="1" t="s">
        <v>3</v>
      </c>
      <c r="L139" s="1"/>
      <c r="M139" s="1" t="str">
        <f>IF(AND(Table1[[#This Row],[Best Practice Recommendation Light]] &lt;&gt; Table1[[#This Row],[Enabled]], Table1[[#This Row],[Best Practice Recommendation Light]] &lt;&gt; ""), "Change Default","")</f>
        <v/>
      </c>
      <c r="N139" s="1"/>
      <c r="O139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40" spans="1:15" ht="28.5" x14ac:dyDescent="0.45">
      <c r="A140" s="1" t="s">
        <v>311</v>
      </c>
      <c r="B140" s="1" t="s">
        <v>312</v>
      </c>
      <c r="C140" s="1" t="b">
        <v>0</v>
      </c>
      <c r="D140" s="1" t="b">
        <v>1</v>
      </c>
      <c r="E140" s="1" t="s">
        <v>290</v>
      </c>
      <c r="F140" s="1" t="s">
        <v>3</v>
      </c>
      <c r="G140" s="1" t="s">
        <v>3</v>
      </c>
      <c r="H140" s="1" t="b">
        <v>1</v>
      </c>
      <c r="I140" s="1" t="b">
        <v>0</v>
      </c>
      <c r="J140" s="1" t="b">
        <v>0</v>
      </c>
      <c r="K140" s="1" t="s">
        <v>3</v>
      </c>
      <c r="L140" s="1"/>
      <c r="M140" s="1" t="str">
        <f>IF(AND(Table1[[#This Row],[Best Practice Recommendation Light]] &lt;&gt; Table1[[#This Row],[Enabled]], Table1[[#This Row],[Best Practice Recommendation Light]] &lt;&gt; ""), "Change Default","")</f>
        <v/>
      </c>
      <c r="N140" s="1" t="b">
        <v>0</v>
      </c>
      <c r="O140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41" spans="1:15" ht="28.5" x14ac:dyDescent="0.45">
      <c r="A141" s="1" t="s">
        <v>313</v>
      </c>
      <c r="B141" s="1" t="s">
        <v>314</v>
      </c>
      <c r="C141" s="1" t="b">
        <v>1</v>
      </c>
      <c r="D141" s="1" t="b">
        <v>1</v>
      </c>
      <c r="E141" s="1" t="s">
        <v>290</v>
      </c>
      <c r="F141" s="1" t="s">
        <v>3</v>
      </c>
      <c r="G141" s="1" t="s">
        <v>3</v>
      </c>
      <c r="H141" s="1" t="b">
        <v>0</v>
      </c>
      <c r="I141" s="1" t="b">
        <v>0</v>
      </c>
      <c r="J141" s="1" t="b">
        <v>0</v>
      </c>
      <c r="K141" s="1" t="s">
        <v>3</v>
      </c>
      <c r="L141" s="1"/>
      <c r="M141" s="1" t="str">
        <f>IF(AND(Table1[[#This Row],[Best Practice Recommendation Light]] &lt;&gt; Table1[[#This Row],[Enabled]], Table1[[#This Row],[Best Practice Recommendation Light]] &lt;&gt; ""), "Change Default","")</f>
        <v/>
      </c>
      <c r="N141" s="1" t="b">
        <v>0</v>
      </c>
      <c r="O141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42" spans="1:15" ht="28.5" x14ac:dyDescent="0.45">
      <c r="A142" s="1" t="s">
        <v>315</v>
      </c>
      <c r="B142" s="1" t="s">
        <v>316</v>
      </c>
      <c r="C142" s="1" t="b">
        <v>0</v>
      </c>
      <c r="D142" s="1" t="b">
        <v>1</v>
      </c>
      <c r="E142" s="1" t="s">
        <v>290</v>
      </c>
      <c r="F142" s="1" t="s">
        <v>3</v>
      </c>
      <c r="G142" s="1" t="s">
        <v>3</v>
      </c>
      <c r="H142" s="1" t="b">
        <v>1</v>
      </c>
      <c r="I142" s="1" t="b">
        <v>0</v>
      </c>
      <c r="J142" s="1" t="b">
        <v>0</v>
      </c>
      <c r="K142" s="1" t="s">
        <v>3</v>
      </c>
      <c r="L142" s="1"/>
      <c r="M142" s="1" t="str">
        <f>IF(AND(Table1[[#This Row],[Best Practice Recommendation Light]] &lt;&gt; Table1[[#This Row],[Enabled]], Table1[[#This Row],[Best Practice Recommendation Light]] &lt;&gt; ""), "Change Default","")</f>
        <v/>
      </c>
      <c r="N142" s="1" t="b">
        <v>0</v>
      </c>
      <c r="O142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43" spans="1:15" ht="28.5" x14ac:dyDescent="0.45">
      <c r="A143" s="1" t="s">
        <v>317</v>
      </c>
      <c r="B143" s="1" t="s">
        <v>318</v>
      </c>
      <c r="C143" s="1" t="b">
        <v>0</v>
      </c>
      <c r="D143" s="1" t="b">
        <v>1</v>
      </c>
      <c r="E143" s="1" t="s">
        <v>290</v>
      </c>
      <c r="F143" s="1" t="s">
        <v>3</v>
      </c>
      <c r="G143" s="1" t="s">
        <v>3</v>
      </c>
      <c r="H143" s="1" t="b">
        <v>1</v>
      </c>
      <c r="I143" s="1" t="b">
        <v>0</v>
      </c>
      <c r="J143" s="1" t="b">
        <v>0</v>
      </c>
      <c r="K143" s="1" t="s">
        <v>3</v>
      </c>
      <c r="L143" s="1"/>
      <c r="M143" s="1" t="str">
        <f>IF(AND(Table1[[#This Row],[Best Practice Recommendation Light]] &lt;&gt; Table1[[#This Row],[Enabled]], Table1[[#This Row],[Best Practice Recommendation Light]] &lt;&gt; ""), "Change Default","")</f>
        <v/>
      </c>
      <c r="N143" s="1"/>
      <c r="O143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44" spans="1:15" ht="28.5" x14ac:dyDescent="0.45">
      <c r="A144" s="1" t="s">
        <v>319</v>
      </c>
      <c r="B144" s="1" t="s">
        <v>320</v>
      </c>
      <c r="C144" s="1" t="b">
        <v>0</v>
      </c>
      <c r="D144" s="1" t="b">
        <v>1</v>
      </c>
      <c r="E144" s="1" t="s">
        <v>290</v>
      </c>
      <c r="F144" s="1" t="s">
        <v>3</v>
      </c>
      <c r="G144" s="1" t="s">
        <v>3</v>
      </c>
      <c r="H144" s="1" t="b">
        <v>1</v>
      </c>
      <c r="I144" s="1" t="b">
        <v>0</v>
      </c>
      <c r="J144" s="1" t="b">
        <v>0</v>
      </c>
      <c r="K144" s="1" t="s">
        <v>3</v>
      </c>
      <c r="L144" s="1"/>
      <c r="M144" s="1" t="str">
        <f>IF(AND(Table1[[#This Row],[Best Practice Recommendation Light]] &lt;&gt; Table1[[#This Row],[Enabled]], Table1[[#This Row],[Best Practice Recommendation Light]] &lt;&gt; ""), "Change Default","")</f>
        <v/>
      </c>
      <c r="N144" s="1"/>
      <c r="O144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45" spans="1:15" ht="28.5" x14ac:dyDescent="0.45">
      <c r="A145" s="1" t="s">
        <v>321</v>
      </c>
      <c r="B145" s="1" t="s">
        <v>322</v>
      </c>
      <c r="C145" s="1" t="b">
        <v>1</v>
      </c>
      <c r="D145" s="1" t="b">
        <v>0</v>
      </c>
      <c r="E145" s="1" t="s">
        <v>323</v>
      </c>
      <c r="F145" s="1" t="s">
        <v>3</v>
      </c>
      <c r="G145" s="1" t="s">
        <v>3</v>
      </c>
      <c r="H145" s="1" t="b">
        <v>0</v>
      </c>
      <c r="I145" s="1" t="b">
        <v>0</v>
      </c>
      <c r="J145" s="1" t="b">
        <v>0</v>
      </c>
      <c r="K145" s="1" t="s">
        <v>3</v>
      </c>
      <c r="L145" s="1"/>
      <c r="M145" s="1" t="str">
        <f>IF(AND(Table1[[#This Row],[Best Practice Recommendation Light]] &lt;&gt; Table1[[#This Row],[Enabled]], Table1[[#This Row],[Best Practice Recommendation Light]] &lt;&gt; ""), "Change Default","")</f>
        <v/>
      </c>
      <c r="N145" s="1" t="b">
        <v>0</v>
      </c>
      <c r="O145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46" spans="1:15" ht="28.5" x14ac:dyDescent="0.45">
      <c r="A146" s="1" t="s">
        <v>324</v>
      </c>
      <c r="B146" s="1" t="s">
        <v>325</v>
      </c>
      <c r="C146" s="1" t="b">
        <v>1</v>
      </c>
      <c r="D146" s="1" t="b">
        <v>0</v>
      </c>
      <c r="E146" s="1" t="s">
        <v>323</v>
      </c>
      <c r="F146" s="1" t="s">
        <v>3</v>
      </c>
      <c r="G146" s="1" t="s">
        <v>3</v>
      </c>
      <c r="H146" s="1" t="b">
        <v>0</v>
      </c>
      <c r="I146" s="1" t="b">
        <v>0</v>
      </c>
      <c r="J146" s="1" t="b">
        <v>0</v>
      </c>
      <c r="K146" s="1" t="s">
        <v>3</v>
      </c>
      <c r="L146" s="1"/>
      <c r="M146" s="1" t="str">
        <f>IF(AND(Table1[[#This Row],[Best Practice Recommendation Light]] &lt;&gt; Table1[[#This Row],[Enabled]], Table1[[#This Row],[Best Practice Recommendation Light]] &lt;&gt; ""), "Change Default","")</f>
        <v/>
      </c>
      <c r="N146" s="1" t="b">
        <v>1</v>
      </c>
      <c r="O146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47" spans="1:15" ht="28.5" x14ac:dyDescent="0.45">
      <c r="A147" s="1" t="s">
        <v>326</v>
      </c>
      <c r="B147" s="1" t="s">
        <v>327</v>
      </c>
      <c r="C147" s="1" t="b">
        <v>0</v>
      </c>
      <c r="D147" s="1" t="b">
        <v>0</v>
      </c>
      <c r="E147" s="1" t="s">
        <v>323</v>
      </c>
      <c r="F147" s="1" t="s">
        <v>3</v>
      </c>
      <c r="G147" s="1" t="s">
        <v>3</v>
      </c>
      <c r="H147" s="1" t="b">
        <v>0</v>
      </c>
      <c r="I147" s="1" t="b">
        <v>1</v>
      </c>
      <c r="J147" s="1" t="b">
        <v>0</v>
      </c>
      <c r="K147" s="1" t="s">
        <v>3</v>
      </c>
      <c r="L147" s="1"/>
      <c r="M147" s="1" t="str">
        <f>IF(AND(Table1[[#This Row],[Best Practice Recommendation Light]] &lt;&gt; Table1[[#This Row],[Enabled]], Table1[[#This Row],[Best Practice Recommendation Light]] &lt;&gt; ""), "Change Default","")</f>
        <v/>
      </c>
      <c r="N147" s="1" t="b">
        <v>0</v>
      </c>
      <c r="O147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48" spans="1:15" ht="28.5" x14ac:dyDescent="0.45">
      <c r="A148" s="1" t="s">
        <v>328</v>
      </c>
      <c r="B148" s="1" t="s">
        <v>329</v>
      </c>
      <c r="C148" s="1" t="b">
        <v>1</v>
      </c>
      <c r="D148" s="1" t="b">
        <v>0</v>
      </c>
      <c r="E148" s="1" t="s">
        <v>323</v>
      </c>
      <c r="F148" s="1" t="s">
        <v>3</v>
      </c>
      <c r="G148" s="1" t="s">
        <v>3</v>
      </c>
      <c r="H148" s="1" t="b">
        <v>0</v>
      </c>
      <c r="I148" s="1" t="b">
        <v>0</v>
      </c>
      <c r="J148" s="1" t="b">
        <v>0</v>
      </c>
      <c r="K148" s="1" t="s">
        <v>3</v>
      </c>
      <c r="L148" s="1"/>
      <c r="M148" s="1" t="str">
        <f>IF(AND(Table1[[#This Row],[Best Practice Recommendation Light]] &lt;&gt; Table1[[#This Row],[Enabled]], Table1[[#This Row],[Best Practice Recommendation Light]] &lt;&gt; ""), "Change Default","")</f>
        <v/>
      </c>
      <c r="N148" s="1" t="b">
        <v>0</v>
      </c>
      <c r="O148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49" spans="1:15" ht="28.5" x14ac:dyDescent="0.45">
      <c r="A149" s="1" t="s">
        <v>330</v>
      </c>
      <c r="B149" s="1" t="s">
        <v>331</v>
      </c>
      <c r="C149" s="1" t="b">
        <v>1</v>
      </c>
      <c r="D149" s="1" t="b">
        <v>0</v>
      </c>
      <c r="E149" s="1" t="s">
        <v>323</v>
      </c>
      <c r="F149" s="1" t="s">
        <v>3</v>
      </c>
      <c r="G149" s="1" t="s">
        <v>3</v>
      </c>
      <c r="H149" s="1" t="b">
        <v>0</v>
      </c>
      <c r="I149" s="1" t="b">
        <v>0</v>
      </c>
      <c r="J149" s="1" t="b">
        <v>0</v>
      </c>
      <c r="K149" s="1" t="s">
        <v>3</v>
      </c>
      <c r="L149" s="1"/>
      <c r="M149" s="1" t="str">
        <f>IF(AND(Table1[[#This Row],[Best Practice Recommendation Light]] &lt;&gt; Table1[[#This Row],[Enabled]], Table1[[#This Row],[Best Practice Recommendation Light]] &lt;&gt; ""), "Change Default","")</f>
        <v/>
      </c>
      <c r="N149" s="1" t="b">
        <v>0</v>
      </c>
      <c r="O149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50" spans="1:15" ht="28.5" x14ac:dyDescent="0.45">
      <c r="A150" s="1" t="s">
        <v>332</v>
      </c>
      <c r="B150" s="1" t="s">
        <v>333</v>
      </c>
      <c r="C150" s="1" t="b">
        <v>1</v>
      </c>
      <c r="D150" s="1" t="b">
        <v>1</v>
      </c>
      <c r="E150" s="1" t="s">
        <v>334</v>
      </c>
      <c r="F150" s="1" t="s">
        <v>3</v>
      </c>
      <c r="G150" s="1" t="s">
        <v>3</v>
      </c>
      <c r="H150" s="1" t="b">
        <v>0</v>
      </c>
      <c r="I150" s="1" t="b">
        <v>0</v>
      </c>
      <c r="J150" s="1" t="b">
        <v>0</v>
      </c>
      <c r="K150" s="1" t="s">
        <v>3</v>
      </c>
      <c r="L150" s="1"/>
      <c r="M150" s="1" t="str">
        <f>IF(AND(Table1[[#This Row],[Best Practice Recommendation Light]] &lt;&gt; Table1[[#This Row],[Enabled]], Table1[[#This Row],[Best Practice Recommendation Light]] &lt;&gt; ""), "Change Default","")</f>
        <v/>
      </c>
      <c r="N150" s="1"/>
      <c r="O150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51" spans="1:15" ht="28.5" x14ac:dyDescent="0.45">
      <c r="A151" s="1" t="s">
        <v>335</v>
      </c>
      <c r="B151" s="1" t="s">
        <v>336</v>
      </c>
      <c r="C151" s="1" t="b">
        <v>1</v>
      </c>
      <c r="D151" s="1" t="b">
        <v>0</v>
      </c>
      <c r="E151" s="1" t="s">
        <v>334</v>
      </c>
      <c r="F151" s="1" t="s">
        <v>3</v>
      </c>
      <c r="G151" s="1" t="s">
        <v>3</v>
      </c>
      <c r="H151" s="1" t="b">
        <v>0</v>
      </c>
      <c r="I151" s="1" t="b">
        <v>0</v>
      </c>
      <c r="J151" s="1" t="b">
        <v>0</v>
      </c>
      <c r="K151" s="1" t="s">
        <v>3</v>
      </c>
      <c r="L151" s="1"/>
      <c r="M151" s="1" t="str">
        <f>IF(AND(Table1[[#This Row],[Best Practice Recommendation Light]] &lt;&gt; Table1[[#This Row],[Enabled]], Table1[[#This Row],[Best Practice Recommendation Light]] &lt;&gt; ""), "Change Default","")</f>
        <v/>
      </c>
      <c r="N151" s="1"/>
      <c r="O151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52" spans="1:15" ht="57" x14ac:dyDescent="0.45">
      <c r="A152" s="1" t="s">
        <v>337</v>
      </c>
      <c r="B152" s="1" t="s">
        <v>338</v>
      </c>
      <c r="C152" s="1" t="b">
        <v>1</v>
      </c>
      <c r="D152" s="1" t="b">
        <v>0</v>
      </c>
      <c r="E152" s="1" t="s">
        <v>339</v>
      </c>
      <c r="F152" s="1" t="s">
        <v>3</v>
      </c>
      <c r="G152" s="1" t="s">
        <v>3</v>
      </c>
      <c r="H152" s="1" t="b">
        <v>0</v>
      </c>
      <c r="I152" s="1" t="b">
        <v>0</v>
      </c>
      <c r="J152" s="1" t="b">
        <v>0</v>
      </c>
      <c r="K152" s="1" t="s">
        <v>3</v>
      </c>
      <c r="L152" s="1"/>
      <c r="M152" s="1" t="str">
        <f>IF(AND(Table1[[#This Row],[Best Practice Recommendation Light]] &lt;&gt; Table1[[#This Row],[Enabled]], Table1[[#This Row],[Best Practice Recommendation Light]] &lt;&gt; ""), "Change Default","")</f>
        <v/>
      </c>
      <c r="N152" s="1" t="b">
        <v>0</v>
      </c>
      <c r="O152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53" spans="1:15" ht="28.5" x14ac:dyDescent="0.45">
      <c r="A153" s="1" t="s">
        <v>340</v>
      </c>
      <c r="B153" s="1" t="s">
        <v>341</v>
      </c>
      <c r="C153" s="1" t="b">
        <v>1</v>
      </c>
      <c r="D153" s="1" t="b">
        <v>0</v>
      </c>
      <c r="E153" s="1" t="s">
        <v>342</v>
      </c>
      <c r="F153" s="1" t="s">
        <v>3</v>
      </c>
      <c r="G153" s="1" t="s">
        <v>3</v>
      </c>
      <c r="H153" s="1" t="b">
        <v>0</v>
      </c>
      <c r="I153" s="1" t="b">
        <v>0</v>
      </c>
      <c r="J153" s="1" t="b">
        <v>0</v>
      </c>
      <c r="K153" s="1" t="s">
        <v>3</v>
      </c>
      <c r="L153" s="1"/>
      <c r="M153" s="1" t="str">
        <f>IF(AND(Table1[[#This Row],[Best Practice Recommendation Light]] &lt;&gt; Table1[[#This Row],[Enabled]], Table1[[#This Row],[Best Practice Recommendation Light]] &lt;&gt; ""), "Change Default","")</f>
        <v/>
      </c>
      <c r="N153" s="1"/>
      <c r="O153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54" spans="1:15" ht="42.75" x14ac:dyDescent="0.45">
      <c r="A154" s="1" t="s">
        <v>343</v>
      </c>
      <c r="B154" s="1" t="s">
        <v>344</v>
      </c>
      <c r="C154" s="1" t="b">
        <v>1</v>
      </c>
      <c r="D154" s="1" t="b">
        <v>1</v>
      </c>
      <c r="E154" s="1" t="s">
        <v>345</v>
      </c>
      <c r="F154" s="1" t="s">
        <v>3</v>
      </c>
      <c r="G154" s="1" t="s">
        <v>3</v>
      </c>
      <c r="H154" s="1" t="b">
        <v>0</v>
      </c>
      <c r="I154" s="1" t="b">
        <v>0</v>
      </c>
      <c r="J154" s="1" t="b">
        <v>0</v>
      </c>
      <c r="K154" s="1" t="s">
        <v>3</v>
      </c>
      <c r="L154" s="1"/>
      <c r="M154" s="1" t="str">
        <f>IF(AND(Table1[[#This Row],[Best Practice Recommendation Light]] &lt;&gt; Table1[[#This Row],[Enabled]], Table1[[#This Row],[Best Practice Recommendation Light]] &lt;&gt; ""), "Change Default","")</f>
        <v/>
      </c>
      <c r="N154" s="1"/>
      <c r="O154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55" spans="1:15" ht="42.75" x14ac:dyDescent="0.45">
      <c r="A155" s="1" t="s">
        <v>346</v>
      </c>
      <c r="B155" s="1" t="s">
        <v>347</v>
      </c>
      <c r="C155" s="1" t="b">
        <v>1</v>
      </c>
      <c r="D155" s="1" t="b">
        <v>1</v>
      </c>
      <c r="E155" s="1" t="s">
        <v>345</v>
      </c>
      <c r="F155" s="1" t="s">
        <v>3</v>
      </c>
      <c r="G155" s="1" t="s">
        <v>3</v>
      </c>
      <c r="H155" s="1" t="b">
        <v>0</v>
      </c>
      <c r="I155" s="1" t="b">
        <v>0</v>
      </c>
      <c r="J155" s="1" t="b">
        <v>0</v>
      </c>
      <c r="K155" s="1" t="s">
        <v>3</v>
      </c>
      <c r="L155" s="1"/>
      <c r="M155" s="1" t="str">
        <f>IF(AND(Table1[[#This Row],[Best Practice Recommendation Light]] &lt;&gt; Table1[[#This Row],[Enabled]], Table1[[#This Row],[Best Practice Recommendation Light]] &lt;&gt; ""), "Change Default","")</f>
        <v/>
      </c>
      <c r="N155" s="1" t="b">
        <v>0</v>
      </c>
      <c r="O155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56" spans="1:15" ht="42.75" x14ac:dyDescent="0.45">
      <c r="A156" s="1" t="s">
        <v>348</v>
      </c>
      <c r="B156" s="1" t="s">
        <v>349</v>
      </c>
      <c r="C156" s="1" t="b">
        <v>0</v>
      </c>
      <c r="D156" s="1" t="b">
        <v>1</v>
      </c>
      <c r="E156" s="1" t="s">
        <v>345</v>
      </c>
      <c r="F156" s="1" t="s">
        <v>3</v>
      </c>
      <c r="G156" s="1" t="s">
        <v>3</v>
      </c>
      <c r="H156" s="1" t="b">
        <v>0</v>
      </c>
      <c r="I156" s="1" t="b">
        <v>0</v>
      </c>
      <c r="J156" s="1" t="b">
        <v>0</v>
      </c>
      <c r="K156" s="1" t="s">
        <v>3</v>
      </c>
      <c r="L156" s="1"/>
      <c r="M156" s="1" t="str">
        <f>IF(AND(Table1[[#This Row],[Best Practice Recommendation Light]] &lt;&gt; Table1[[#This Row],[Enabled]], Table1[[#This Row],[Best Practice Recommendation Light]] &lt;&gt; ""), "Change Default","")</f>
        <v/>
      </c>
      <c r="N156" s="1" t="b">
        <v>0</v>
      </c>
      <c r="O156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57" spans="1:15" ht="57" x14ac:dyDescent="0.45">
      <c r="A157" s="1" t="s">
        <v>350</v>
      </c>
      <c r="B157" s="1" t="s">
        <v>351</v>
      </c>
      <c r="C157" s="1" t="b">
        <v>1</v>
      </c>
      <c r="D157" s="1" t="b">
        <v>0</v>
      </c>
      <c r="E157" s="1" t="s">
        <v>352</v>
      </c>
      <c r="F157" s="1" t="s">
        <v>3</v>
      </c>
      <c r="G157" s="1" t="s">
        <v>3</v>
      </c>
      <c r="H157" s="1" t="b">
        <v>0</v>
      </c>
      <c r="I157" s="1" t="b">
        <v>0</v>
      </c>
      <c r="J157" s="1" t="b">
        <v>0</v>
      </c>
      <c r="K157" s="1" t="s">
        <v>3</v>
      </c>
      <c r="L157" s="1"/>
      <c r="M157" s="1" t="str">
        <f>IF(AND(Table1[[#This Row],[Best Practice Recommendation Light]] &lt;&gt; Table1[[#This Row],[Enabled]], Table1[[#This Row],[Best Practice Recommendation Light]] &lt;&gt; ""), "Change Default","")</f>
        <v/>
      </c>
      <c r="N157" s="1" t="b">
        <v>0</v>
      </c>
      <c r="O157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58" spans="1:15" ht="28.5" x14ac:dyDescent="0.45">
      <c r="A158" s="1" t="s">
        <v>353</v>
      </c>
      <c r="B158" s="1" t="s">
        <v>354</v>
      </c>
      <c r="C158" s="1" t="b">
        <v>1</v>
      </c>
      <c r="D158" s="1" t="b">
        <v>1</v>
      </c>
      <c r="E158" s="1" t="s">
        <v>355</v>
      </c>
      <c r="F158" s="1" t="s">
        <v>3</v>
      </c>
      <c r="G158" s="1" t="s">
        <v>3</v>
      </c>
      <c r="H158" s="1" t="b">
        <v>0</v>
      </c>
      <c r="I158" s="1" t="b">
        <v>0</v>
      </c>
      <c r="J158" s="1" t="b">
        <v>0</v>
      </c>
      <c r="K158" s="1" t="s">
        <v>3</v>
      </c>
      <c r="L158" s="1"/>
      <c r="M158" s="1" t="str">
        <f>IF(AND(Table1[[#This Row],[Best Practice Recommendation Light]] &lt;&gt; Table1[[#This Row],[Enabled]], Table1[[#This Row],[Best Practice Recommendation Light]] &lt;&gt; ""), "Change Default","")</f>
        <v/>
      </c>
      <c r="N158" s="1" t="b">
        <v>0</v>
      </c>
      <c r="O158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59" spans="1:15" ht="71.25" x14ac:dyDescent="0.45">
      <c r="A159" s="1" t="s">
        <v>356</v>
      </c>
      <c r="B159" s="1" t="s">
        <v>357</v>
      </c>
      <c r="C159" s="1" t="b">
        <v>1</v>
      </c>
      <c r="D159" s="1" t="b">
        <v>1</v>
      </c>
      <c r="E159" s="1" t="s">
        <v>355</v>
      </c>
      <c r="F159" s="1" t="s">
        <v>3</v>
      </c>
      <c r="G159" s="1" t="s">
        <v>3</v>
      </c>
      <c r="H159" s="1" t="b">
        <v>0</v>
      </c>
      <c r="I159" s="1" t="b">
        <v>0</v>
      </c>
      <c r="J159" s="1" t="b">
        <v>0</v>
      </c>
      <c r="K159" s="1" t="s">
        <v>358</v>
      </c>
      <c r="L159" s="1"/>
      <c r="M159" s="1" t="str">
        <f>IF(AND(Table1[[#This Row],[Best Practice Recommendation Light]] &lt;&gt; Table1[[#This Row],[Enabled]], Table1[[#This Row],[Best Practice Recommendation Light]] &lt;&gt; ""), "Change Default","")</f>
        <v/>
      </c>
      <c r="N159" s="1" t="b">
        <v>0</v>
      </c>
      <c r="O159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60" spans="1:15" ht="28.5" x14ac:dyDescent="0.45">
      <c r="A160" s="1" t="s">
        <v>359</v>
      </c>
      <c r="B160" s="1" t="s">
        <v>360</v>
      </c>
      <c r="C160" s="1" t="b">
        <v>0</v>
      </c>
      <c r="D160" s="1" t="b">
        <v>1</v>
      </c>
      <c r="E160" s="1" t="s">
        <v>355</v>
      </c>
      <c r="F160" s="1" t="s">
        <v>3</v>
      </c>
      <c r="G160" s="1" t="s">
        <v>3</v>
      </c>
      <c r="H160" s="1" t="b">
        <v>0</v>
      </c>
      <c r="I160" s="1" t="b">
        <v>0</v>
      </c>
      <c r="J160" s="1" t="b">
        <v>0</v>
      </c>
      <c r="K160" s="1" t="s">
        <v>3</v>
      </c>
      <c r="L160" s="1"/>
      <c r="M160" s="1" t="str">
        <f>IF(AND(Table1[[#This Row],[Best Practice Recommendation Light]] &lt;&gt; Table1[[#This Row],[Enabled]], Table1[[#This Row],[Best Practice Recommendation Light]] &lt;&gt; ""), "Change Default","")</f>
        <v/>
      </c>
      <c r="N160" s="1" t="b">
        <v>0</v>
      </c>
      <c r="O160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61" spans="1:15" ht="28.5" x14ac:dyDescent="0.45">
      <c r="A161" s="1" t="s">
        <v>361</v>
      </c>
      <c r="B161" s="1" t="s">
        <v>362</v>
      </c>
      <c r="C161" s="1" t="b">
        <v>0</v>
      </c>
      <c r="D161" s="1" t="b">
        <v>1</v>
      </c>
      <c r="E161" s="1" t="s">
        <v>355</v>
      </c>
      <c r="F161" s="1" t="s">
        <v>3</v>
      </c>
      <c r="G161" s="1" t="s">
        <v>3</v>
      </c>
      <c r="H161" s="1" t="b">
        <v>0</v>
      </c>
      <c r="I161" s="1" t="b">
        <v>0</v>
      </c>
      <c r="J161" s="1" t="b">
        <v>0</v>
      </c>
      <c r="K161" s="1" t="s">
        <v>3</v>
      </c>
      <c r="L161" s="1" t="b">
        <v>0</v>
      </c>
      <c r="M161" s="1" t="str">
        <f>IF(AND(Table1[[#This Row],[Best Practice Recommendation Light]] &lt;&gt; Table1[[#This Row],[Enabled]], Table1[[#This Row],[Best Practice Recommendation Light]] &lt;&gt; ""), "Change Default","")</f>
        <v/>
      </c>
      <c r="N161" s="1" t="b">
        <v>0</v>
      </c>
      <c r="O161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62" spans="1:15" ht="28.5" x14ac:dyDescent="0.45">
      <c r="A162" s="1" t="s">
        <v>363</v>
      </c>
      <c r="B162" s="1" t="s">
        <v>364</v>
      </c>
      <c r="C162" s="1" t="b">
        <v>1</v>
      </c>
      <c r="D162" s="1" t="b">
        <v>1</v>
      </c>
      <c r="E162" s="1" t="s">
        <v>365</v>
      </c>
      <c r="F162" s="1" t="s">
        <v>3</v>
      </c>
      <c r="G162" s="1" t="s">
        <v>3</v>
      </c>
      <c r="H162" s="1" t="b">
        <v>0</v>
      </c>
      <c r="I162" s="1" t="b">
        <v>0</v>
      </c>
      <c r="J162" s="1" t="b">
        <v>0</v>
      </c>
      <c r="K162" s="1" t="s">
        <v>3</v>
      </c>
      <c r="L162" s="1"/>
      <c r="M162" s="1" t="str">
        <f>IF(AND(Table1[[#This Row],[Best Practice Recommendation Light]] &lt;&gt; Table1[[#This Row],[Enabled]], Table1[[#This Row],[Best Practice Recommendation Light]] &lt;&gt; ""), "Change Default","")</f>
        <v/>
      </c>
      <c r="N162" s="1" t="b">
        <v>0</v>
      </c>
      <c r="O162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63" spans="1:15" ht="28.5" x14ac:dyDescent="0.45">
      <c r="A163" s="1" t="s">
        <v>366</v>
      </c>
      <c r="B163" s="1" t="s">
        <v>367</v>
      </c>
      <c r="C163" s="1" t="b">
        <v>1</v>
      </c>
      <c r="D163" s="1" t="b">
        <v>1</v>
      </c>
      <c r="E163" s="1" t="s">
        <v>365</v>
      </c>
      <c r="F163" s="1" t="s">
        <v>3</v>
      </c>
      <c r="G163" s="1" t="s">
        <v>3</v>
      </c>
      <c r="H163" s="1" t="b">
        <v>0</v>
      </c>
      <c r="I163" s="1" t="b">
        <v>0</v>
      </c>
      <c r="J163" s="1" t="b">
        <v>0</v>
      </c>
      <c r="K163" s="1" t="s">
        <v>3</v>
      </c>
      <c r="L163" s="1"/>
      <c r="M163" s="1" t="str">
        <f>IF(AND(Table1[[#This Row],[Best Practice Recommendation Light]] &lt;&gt; Table1[[#This Row],[Enabled]], Table1[[#This Row],[Best Practice Recommendation Light]] &lt;&gt; ""), "Change Default","")</f>
        <v/>
      </c>
      <c r="N163" s="1"/>
      <c r="O163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64" spans="1:15" ht="28.5" x14ac:dyDescent="0.45">
      <c r="A164" s="1" t="s">
        <v>368</v>
      </c>
      <c r="B164" s="1" t="s">
        <v>369</v>
      </c>
      <c r="C164" s="1" t="b">
        <v>0</v>
      </c>
      <c r="D164" s="1" t="b">
        <v>0</v>
      </c>
      <c r="E164" s="1" t="s">
        <v>365</v>
      </c>
      <c r="F164" s="1" t="s">
        <v>3</v>
      </c>
      <c r="G164" s="1" t="s">
        <v>3</v>
      </c>
      <c r="H164" s="1" t="b">
        <v>0</v>
      </c>
      <c r="I164" s="1" t="b">
        <v>0</v>
      </c>
      <c r="J164" s="1" t="b">
        <v>0</v>
      </c>
      <c r="K164" s="1" t="s">
        <v>3</v>
      </c>
      <c r="L164" s="1"/>
      <c r="M164" s="1" t="str">
        <f>IF(AND(Table1[[#This Row],[Best Practice Recommendation Light]] &lt;&gt; Table1[[#This Row],[Enabled]], Table1[[#This Row],[Best Practice Recommendation Light]] &lt;&gt; ""), "Change Default","")</f>
        <v/>
      </c>
      <c r="N164" s="1" t="b">
        <v>1</v>
      </c>
      <c r="O164" s="1" t="str">
        <f>IF(AND(Table1[[#This Row],[Best Practice Recommendation Paranoid]] &lt;&gt; Table1[[#This Row],[Enabled]], Table1[[#This Row],[Best Practice Recommendation Paranoid]] &lt;&gt; ""), "Change Default","")</f>
        <v>Change Default</v>
      </c>
    </row>
    <row r="165" spans="1:15" ht="71.25" x14ac:dyDescent="0.45">
      <c r="A165" s="1" t="s">
        <v>370</v>
      </c>
      <c r="B165" s="1" t="s">
        <v>371</v>
      </c>
      <c r="C165" s="1" t="b">
        <v>1</v>
      </c>
      <c r="D165" s="1" t="b">
        <v>0</v>
      </c>
      <c r="E165" s="1" t="s">
        <v>365</v>
      </c>
      <c r="F165" s="1" t="s">
        <v>3</v>
      </c>
      <c r="G165" s="1" t="s">
        <v>3</v>
      </c>
      <c r="H165" s="1" t="b">
        <v>0</v>
      </c>
      <c r="I165" s="1" t="b">
        <v>0</v>
      </c>
      <c r="J165" s="1" t="b">
        <v>0</v>
      </c>
      <c r="K165" s="1" t="s">
        <v>372</v>
      </c>
      <c r="L165" s="1"/>
      <c r="M165" s="1" t="str">
        <f>IF(AND(Table1[[#This Row],[Best Practice Recommendation Light]] &lt;&gt; Table1[[#This Row],[Enabled]], Table1[[#This Row],[Best Practice Recommendation Light]] &lt;&gt; ""), "Change Default","")</f>
        <v/>
      </c>
      <c r="N165" s="1" t="b">
        <v>1</v>
      </c>
      <c r="O165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66" spans="1:15" ht="42.75" x14ac:dyDescent="0.45">
      <c r="A166" s="1" t="s">
        <v>373</v>
      </c>
      <c r="B166" s="1" t="s">
        <v>374</v>
      </c>
      <c r="C166" s="1" t="b">
        <v>1</v>
      </c>
      <c r="D166" s="1" t="b">
        <v>1</v>
      </c>
      <c r="E166" s="1" t="s">
        <v>365</v>
      </c>
      <c r="F166" s="1" t="s">
        <v>3</v>
      </c>
      <c r="G166" s="1" t="s">
        <v>3</v>
      </c>
      <c r="H166" s="1" t="b">
        <v>0</v>
      </c>
      <c r="I166" s="1" t="b">
        <v>0</v>
      </c>
      <c r="J166" s="1" t="b">
        <v>0</v>
      </c>
      <c r="K166" s="1" t="s">
        <v>3</v>
      </c>
      <c r="L166" s="1"/>
      <c r="M166" s="1" t="str">
        <f>IF(AND(Table1[[#This Row],[Best Practice Recommendation Light]] &lt;&gt; Table1[[#This Row],[Enabled]], Table1[[#This Row],[Best Practice Recommendation Light]] &lt;&gt; ""), "Change Default","")</f>
        <v/>
      </c>
      <c r="N166" s="1"/>
      <c r="O166" s="1" t="str">
        <f>IF(AND(Table1[[#This Row],[Best Practice Recommendation Paranoid]] &lt;&gt; Table1[[#This Row],[Enabled]], Table1[[#This Row],[Best Practice Recommendation Paranoid]] &lt;&gt; ""), "Change Default","")</f>
        <v/>
      </c>
    </row>
    <row r="167" spans="1:15" ht="71.25" x14ac:dyDescent="0.45">
      <c r="A167" s="1" t="s">
        <v>375</v>
      </c>
      <c r="B167" s="1" t="s">
        <v>376</v>
      </c>
      <c r="C167" s="1" t="b">
        <v>0</v>
      </c>
      <c r="D167" s="1" t="b">
        <v>0</v>
      </c>
      <c r="E167" s="1" t="s">
        <v>365</v>
      </c>
      <c r="F167" s="1" t="s">
        <v>3</v>
      </c>
      <c r="G167" s="1" t="s">
        <v>3</v>
      </c>
      <c r="H167" s="1" t="b">
        <v>0</v>
      </c>
      <c r="I167" s="1" t="b">
        <v>0</v>
      </c>
      <c r="J167" s="1" t="b">
        <v>0</v>
      </c>
      <c r="K167" s="1" t="s">
        <v>377</v>
      </c>
      <c r="L167" s="1"/>
      <c r="M167" s="1" t="str">
        <f>IF(AND(Table1[[#This Row],[Best Practice Recommendation Light]] &lt;&gt; Table1[[#This Row],[Enabled]], Table1[[#This Row],[Best Practice Recommendation Light]] &lt;&gt; ""), "Change Default","")</f>
        <v/>
      </c>
      <c r="N167" s="1"/>
      <c r="O167" s="1" t="str">
        <f>IF(AND(Table1[[#This Row],[Best Practice Recommendation Paranoid]] &lt;&gt; Table1[[#This Row],[Enabled]], Table1[[#This Row],[Best Practice Recommendation Paranoid]] &lt;&gt; ""), "Change Default","")</f>
        <v/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17A-E71A-4CDB-817C-2D1A90D630C9}">
  <sheetPr filterMode="1"/>
  <dimension ref="A1:A166"/>
  <sheetViews>
    <sheetView tabSelected="1" workbookViewId="0">
      <selection sqref="A1:A1048576"/>
    </sheetView>
  </sheetViews>
  <sheetFormatPr defaultRowHeight="14.25" x14ac:dyDescent="0.45"/>
  <sheetData>
    <row r="1" spans="1:1" ht="28.5" x14ac:dyDescent="0.45">
      <c r="A1" s="3" t="s">
        <v>355</v>
      </c>
    </row>
    <row r="2" spans="1:1" ht="28.5" x14ac:dyDescent="0.45">
      <c r="A2" s="3" t="s">
        <v>2</v>
      </c>
    </row>
    <row r="3" spans="1:1" ht="28.5" x14ac:dyDescent="0.45">
      <c r="A3" s="3" t="s">
        <v>2</v>
      </c>
    </row>
    <row r="4" spans="1:1" ht="28.5" hidden="1" x14ac:dyDescent="0.45">
      <c r="A4" s="4" t="s">
        <v>2</v>
      </c>
    </row>
    <row r="5" spans="1:1" ht="28.5" hidden="1" x14ac:dyDescent="0.45">
      <c r="A5" s="4" t="s">
        <v>2</v>
      </c>
    </row>
    <row r="6" spans="1:1" ht="42.75" x14ac:dyDescent="0.45">
      <c r="A6" s="4" t="s">
        <v>12</v>
      </c>
    </row>
    <row r="7" spans="1:1" ht="42.75" hidden="1" x14ac:dyDescent="0.45">
      <c r="A7" s="3" t="s">
        <v>12</v>
      </c>
    </row>
    <row r="8" spans="1:1" ht="42.75" hidden="1" x14ac:dyDescent="0.45">
      <c r="A8" s="4" t="s">
        <v>12</v>
      </c>
    </row>
    <row r="9" spans="1:1" ht="42.75" hidden="1" x14ac:dyDescent="0.45">
      <c r="A9" s="3" t="s">
        <v>12</v>
      </c>
    </row>
    <row r="10" spans="1:1" ht="42.75" hidden="1" x14ac:dyDescent="0.45">
      <c r="A10" s="3" t="s">
        <v>12</v>
      </c>
    </row>
    <row r="11" spans="1:1" ht="28.5" x14ac:dyDescent="0.45">
      <c r="A11" s="3" t="s">
        <v>67</v>
      </c>
    </row>
    <row r="12" spans="1:1" ht="42.75" hidden="1" x14ac:dyDescent="0.45">
      <c r="A12" s="4" t="s">
        <v>23</v>
      </c>
    </row>
    <row r="13" spans="1:1" ht="42.75" hidden="1" x14ac:dyDescent="0.45">
      <c r="A13" s="3" t="s">
        <v>23</v>
      </c>
    </row>
    <row r="14" spans="1:1" ht="42.75" hidden="1" x14ac:dyDescent="0.45">
      <c r="A14" s="4" t="s">
        <v>23</v>
      </c>
    </row>
    <row r="15" spans="1:1" ht="42.75" hidden="1" x14ac:dyDescent="0.45">
      <c r="A15" s="3" t="s">
        <v>23</v>
      </c>
    </row>
    <row r="16" spans="1:1" ht="42.75" x14ac:dyDescent="0.45">
      <c r="A16" s="3" t="s">
        <v>23</v>
      </c>
    </row>
    <row r="17" spans="1:1" ht="28.5" x14ac:dyDescent="0.45">
      <c r="A17" s="4" t="s">
        <v>41</v>
      </c>
    </row>
    <row r="18" spans="1:1" ht="42.75" hidden="1" x14ac:dyDescent="0.45">
      <c r="A18" s="4" t="s">
        <v>23</v>
      </c>
    </row>
    <row r="19" spans="1:1" ht="42.75" x14ac:dyDescent="0.45">
      <c r="A19" s="4" t="s">
        <v>44</v>
      </c>
    </row>
    <row r="20" spans="1:1" ht="57" x14ac:dyDescent="0.45">
      <c r="A20" s="3" t="s">
        <v>51</v>
      </c>
    </row>
    <row r="21" spans="1:1" ht="42.75" hidden="1" x14ac:dyDescent="0.45">
      <c r="A21" s="3" t="s">
        <v>44</v>
      </c>
    </row>
    <row r="22" spans="1:1" ht="42.75" hidden="1" x14ac:dyDescent="0.45">
      <c r="A22" s="3" t="s">
        <v>44</v>
      </c>
    </row>
    <row r="23" spans="1:1" ht="28.5" x14ac:dyDescent="0.45">
      <c r="A23" s="3" t="s">
        <v>85</v>
      </c>
    </row>
    <row r="24" spans="1:1" ht="57" hidden="1" x14ac:dyDescent="0.45">
      <c r="A24" s="4" t="s">
        <v>51</v>
      </c>
    </row>
    <row r="25" spans="1:1" ht="57" hidden="1" x14ac:dyDescent="0.45">
      <c r="A25" s="3" t="s">
        <v>51</v>
      </c>
    </row>
    <row r="26" spans="1:1" ht="57" hidden="1" x14ac:dyDescent="0.45">
      <c r="A26" s="4" t="s">
        <v>51</v>
      </c>
    </row>
    <row r="27" spans="1:1" ht="57" hidden="1" x14ac:dyDescent="0.45">
      <c r="A27" s="3" t="s">
        <v>51</v>
      </c>
    </row>
    <row r="28" spans="1:1" ht="57" hidden="1" x14ac:dyDescent="0.45">
      <c r="A28" s="4" t="s">
        <v>51</v>
      </c>
    </row>
    <row r="29" spans="1:1" ht="28.5" x14ac:dyDescent="0.45">
      <c r="A29" s="4" t="s">
        <v>94</v>
      </c>
    </row>
    <row r="30" spans="1:1" ht="28.5" hidden="1" x14ac:dyDescent="0.45">
      <c r="A30" s="4" t="s">
        <v>67</v>
      </c>
    </row>
    <row r="31" spans="1:1" ht="28.5" hidden="1" x14ac:dyDescent="0.45">
      <c r="A31" s="3" t="s">
        <v>67</v>
      </c>
    </row>
    <row r="32" spans="1:1" ht="28.5" x14ac:dyDescent="0.45">
      <c r="A32" s="3" t="s">
        <v>103</v>
      </c>
    </row>
    <row r="33" spans="1:1" ht="28.5" x14ac:dyDescent="0.45">
      <c r="A33" s="3" t="s">
        <v>117</v>
      </c>
    </row>
    <row r="34" spans="1:1" ht="28.5" hidden="1" x14ac:dyDescent="0.45">
      <c r="A34" s="4" t="s">
        <v>74</v>
      </c>
    </row>
    <row r="35" spans="1:1" ht="28.5" hidden="1" x14ac:dyDescent="0.45">
      <c r="A35" s="3" t="s">
        <v>74</v>
      </c>
    </row>
    <row r="36" spans="1:1" ht="28.5" hidden="1" x14ac:dyDescent="0.45">
      <c r="A36" s="4" t="s">
        <v>74</v>
      </c>
    </row>
    <row r="37" spans="1:1" ht="57" x14ac:dyDescent="0.45">
      <c r="A37" s="4" t="s">
        <v>88</v>
      </c>
    </row>
    <row r="38" spans="1:1" ht="28.5" x14ac:dyDescent="0.45">
      <c r="A38" s="4" t="s">
        <v>124</v>
      </c>
    </row>
    <row r="39" spans="1:1" ht="42.75" x14ac:dyDescent="0.45">
      <c r="A39" s="3" t="s">
        <v>91</v>
      </c>
    </row>
    <row r="40" spans="1:1" ht="42.75" x14ac:dyDescent="0.45">
      <c r="A40" s="3" t="s">
        <v>127</v>
      </c>
    </row>
    <row r="41" spans="1:1" ht="42.75" x14ac:dyDescent="0.45">
      <c r="A41" s="4" t="s">
        <v>64</v>
      </c>
    </row>
    <row r="42" spans="1:1" ht="42.75" x14ac:dyDescent="0.45">
      <c r="A42" s="4" t="s">
        <v>196</v>
      </c>
    </row>
    <row r="43" spans="1:1" ht="42.75" x14ac:dyDescent="0.45">
      <c r="A43" s="3" t="s">
        <v>208</v>
      </c>
    </row>
    <row r="44" spans="1:1" ht="28.5" hidden="1" x14ac:dyDescent="0.45">
      <c r="A44" s="4" t="s">
        <v>103</v>
      </c>
    </row>
    <row r="45" spans="1:1" ht="28.5" hidden="1" x14ac:dyDescent="0.45">
      <c r="A45" s="3" t="s">
        <v>103</v>
      </c>
    </row>
    <row r="46" spans="1:1" ht="28.5" hidden="1" x14ac:dyDescent="0.45">
      <c r="A46" s="4" t="s">
        <v>103</v>
      </c>
    </row>
    <row r="47" spans="1:1" ht="28.5" hidden="1" x14ac:dyDescent="0.45">
      <c r="A47" s="3" t="s">
        <v>103</v>
      </c>
    </row>
    <row r="48" spans="1:1" ht="28.5" hidden="1" x14ac:dyDescent="0.45">
      <c r="A48" s="4" t="s">
        <v>103</v>
      </c>
    </row>
    <row r="49" spans="1:1" ht="42.75" x14ac:dyDescent="0.45">
      <c r="A49" s="4" t="s">
        <v>222</v>
      </c>
    </row>
    <row r="50" spans="1:1" ht="28.5" hidden="1" x14ac:dyDescent="0.45">
      <c r="A50" s="4" t="s">
        <v>117</v>
      </c>
    </row>
    <row r="51" spans="1:1" ht="28.5" hidden="1" x14ac:dyDescent="0.45">
      <c r="A51" s="3" t="s">
        <v>117</v>
      </c>
    </row>
    <row r="52" spans="1:1" ht="28.5" x14ac:dyDescent="0.45">
      <c r="A52" s="3" t="s">
        <v>36</v>
      </c>
    </row>
    <row r="53" spans="1:1" ht="28.5" x14ac:dyDescent="0.45">
      <c r="A53" s="3" t="s">
        <v>237</v>
      </c>
    </row>
    <row r="54" spans="1:1" ht="42.75" hidden="1" x14ac:dyDescent="0.45">
      <c r="A54" s="4" t="s">
        <v>127</v>
      </c>
    </row>
    <row r="55" spans="1:1" ht="42.75" hidden="1" x14ac:dyDescent="0.45">
      <c r="A55" s="3" t="s">
        <v>127</v>
      </c>
    </row>
    <row r="56" spans="1:1" ht="42.75" hidden="1" x14ac:dyDescent="0.45">
      <c r="A56" s="4" t="s">
        <v>127</v>
      </c>
    </row>
    <row r="57" spans="1:1" ht="42.75" hidden="1" x14ac:dyDescent="0.45">
      <c r="A57" s="3" t="s">
        <v>127</v>
      </c>
    </row>
    <row r="58" spans="1:1" ht="42.75" hidden="1" x14ac:dyDescent="0.45">
      <c r="A58" s="4" t="s">
        <v>127</v>
      </c>
    </row>
    <row r="59" spans="1:1" ht="42.75" hidden="1" x14ac:dyDescent="0.45">
      <c r="A59" s="3" t="s">
        <v>127</v>
      </c>
    </row>
    <row r="60" spans="1:1" ht="42.75" hidden="1" x14ac:dyDescent="0.45">
      <c r="A60" s="4" t="s">
        <v>127</v>
      </c>
    </row>
    <row r="61" spans="1:1" ht="42.75" hidden="1" x14ac:dyDescent="0.45">
      <c r="A61" s="3" t="s">
        <v>127</v>
      </c>
    </row>
    <row r="62" spans="1:1" ht="42.75" hidden="1" x14ac:dyDescent="0.45">
      <c r="A62" s="4" t="s">
        <v>127</v>
      </c>
    </row>
    <row r="63" spans="1:1" ht="42.75" hidden="1" x14ac:dyDescent="0.45">
      <c r="A63" s="3" t="s">
        <v>127</v>
      </c>
    </row>
    <row r="64" spans="1:1" ht="42.75" hidden="1" x14ac:dyDescent="0.45">
      <c r="A64" s="4" t="s">
        <v>127</v>
      </c>
    </row>
    <row r="65" spans="1:1" ht="42.75" hidden="1" x14ac:dyDescent="0.45">
      <c r="A65" s="3" t="s">
        <v>127</v>
      </c>
    </row>
    <row r="66" spans="1:1" ht="42.75" hidden="1" x14ac:dyDescent="0.45">
      <c r="A66" s="4" t="s">
        <v>127</v>
      </c>
    </row>
    <row r="67" spans="1:1" ht="42.75" hidden="1" x14ac:dyDescent="0.45">
      <c r="A67" s="3" t="s">
        <v>127</v>
      </c>
    </row>
    <row r="68" spans="1:1" ht="42.75" hidden="1" x14ac:dyDescent="0.45">
      <c r="A68" s="4" t="s">
        <v>127</v>
      </c>
    </row>
    <row r="69" spans="1:1" ht="42.75" hidden="1" x14ac:dyDescent="0.45">
      <c r="A69" s="3" t="s">
        <v>127</v>
      </c>
    </row>
    <row r="70" spans="1:1" ht="42.75" hidden="1" x14ac:dyDescent="0.45">
      <c r="A70" s="4" t="s">
        <v>127</v>
      </c>
    </row>
    <row r="71" spans="1:1" ht="42.75" hidden="1" x14ac:dyDescent="0.45">
      <c r="A71" s="3" t="s">
        <v>127</v>
      </c>
    </row>
    <row r="72" spans="1:1" ht="42.75" hidden="1" x14ac:dyDescent="0.45">
      <c r="A72" s="4" t="s">
        <v>127</v>
      </c>
    </row>
    <row r="73" spans="1:1" ht="42.75" hidden="1" x14ac:dyDescent="0.45">
      <c r="A73" s="3" t="s">
        <v>127</v>
      </c>
    </row>
    <row r="74" spans="1:1" ht="42.75" hidden="1" x14ac:dyDescent="0.45">
      <c r="A74" s="4" t="s">
        <v>127</v>
      </c>
    </row>
    <row r="75" spans="1:1" ht="42.75" hidden="1" x14ac:dyDescent="0.45">
      <c r="A75" s="3" t="s">
        <v>127</v>
      </c>
    </row>
    <row r="76" spans="1:1" ht="42.75" hidden="1" x14ac:dyDescent="0.45">
      <c r="A76" s="4" t="s">
        <v>127</v>
      </c>
    </row>
    <row r="77" spans="1:1" ht="42.75" hidden="1" x14ac:dyDescent="0.45">
      <c r="A77" s="3" t="s">
        <v>127</v>
      </c>
    </row>
    <row r="78" spans="1:1" ht="42.75" hidden="1" x14ac:dyDescent="0.45">
      <c r="A78" s="4" t="s">
        <v>127</v>
      </c>
    </row>
    <row r="79" spans="1:1" ht="42.75" hidden="1" x14ac:dyDescent="0.45">
      <c r="A79" s="3" t="s">
        <v>127</v>
      </c>
    </row>
    <row r="80" spans="1:1" ht="42.75" hidden="1" x14ac:dyDescent="0.45">
      <c r="A80" s="4" t="s">
        <v>127</v>
      </c>
    </row>
    <row r="81" spans="1:1" ht="42.75" hidden="1" x14ac:dyDescent="0.45">
      <c r="A81" s="3" t="s">
        <v>127</v>
      </c>
    </row>
    <row r="82" spans="1:1" ht="42.75" hidden="1" x14ac:dyDescent="0.45">
      <c r="A82" s="4" t="s">
        <v>127</v>
      </c>
    </row>
    <row r="83" spans="1:1" ht="42.75" hidden="1" x14ac:dyDescent="0.45">
      <c r="A83" s="3" t="s">
        <v>127</v>
      </c>
    </row>
    <row r="84" spans="1:1" ht="42.75" hidden="1" x14ac:dyDescent="0.45">
      <c r="A84" s="4" t="s">
        <v>127</v>
      </c>
    </row>
    <row r="85" spans="1:1" ht="42.75" hidden="1" x14ac:dyDescent="0.45">
      <c r="A85" s="3" t="s">
        <v>127</v>
      </c>
    </row>
    <row r="86" spans="1:1" ht="28.5" hidden="1" x14ac:dyDescent="0.45">
      <c r="A86" s="4" t="s">
        <v>36</v>
      </c>
    </row>
    <row r="87" spans="1:1" ht="42.75" hidden="1" x14ac:dyDescent="0.45">
      <c r="A87" s="3" t="s">
        <v>196</v>
      </c>
    </row>
    <row r="88" spans="1:1" ht="42.75" hidden="1" x14ac:dyDescent="0.45">
      <c r="A88" s="4" t="s">
        <v>196</v>
      </c>
    </row>
    <row r="89" spans="1:1" ht="42.75" hidden="1" x14ac:dyDescent="0.45">
      <c r="A89" s="3" t="s">
        <v>196</v>
      </c>
    </row>
    <row r="90" spans="1:1" ht="28.5" x14ac:dyDescent="0.45">
      <c r="A90" s="4" t="s">
        <v>290</v>
      </c>
    </row>
    <row r="91" spans="1:1" ht="28.5" x14ac:dyDescent="0.45">
      <c r="A91" s="4" t="s">
        <v>323</v>
      </c>
    </row>
    <row r="92" spans="1:1" ht="42.75" hidden="1" x14ac:dyDescent="0.45">
      <c r="A92" s="4" t="s">
        <v>208</v>
      </c>
    </row>
    <row r="93" spans="1:1" ht="42.75" hidden="1" x14ac:dyDescent="0.45">
      <c r="A93" s="3" t="s">
        <v>208</v>
      </c>
    </row>
    <row r="94" spans="1:1" ht="42.75" hidden="1" x14ac:dyDescent="0.45">
      <c r="A94" s="4" t="s">
        <v>208</v>
      </c>
    </row>
    <row r="95" spans="1:1" ht="42.75" hidden="1" x14ac:dyDescent="0.45">
      <c r="A95" s="3" t="s">
        <v>208</v>
      </c>
    </row>
    <row r="96" spans="1:1" ht="28.5" x14ac:dyDescent="0.45">
      <c r="A96" s="3" t="s">
        <v>74</v>
      </c>
    </row>
    <row r="97" spans="1:1" ht="42.75" hidden="1" x14ac:dyDescent="0.45">
      <c r="A97" s="3" t="s">
        <v>222</v>
      </c>
    </row>
    <row r="98" spans="1:1" ht="42.75" hidden="1" x14ac:dyDescent="0.45">
      <c r="A98" s="4" t="s">
        <v>222</v>
      </c>
    </row>
    <row r="99" spans="1:1" ht="42.75" hidden="1" x14ac:dyDescent="0.45">
      <c r="A99" s="3" t="s">
        <v>222</v>
      </c>
    </row>
    <row r="100" spans="1:1" ht="42.75" hidden="1" x14ac:dyDescent="0.45">
      <c r="A100" s="4" t="s">
        <v>222</v>
      </c>
    </row>
    <row r="101" spans="1:1" ht="42.75" hidden="1" x14ac:dyDescent="0.45">
      <c r="A101" s="3" t="s">
        <v>222</v>
      </c>
    </row>
    <row r="102" spans="1:1" ht="42.75" hidden="1" x14ac:dyDescent="0.45">
      <c r="A102" s="4" t="s">
        <v>222</v>
      </c>
    </row>
    <row r="103" spans="1:1" ht="28.5" hidden="1" x14ac:dyDescent="0.45">
      <c r="A103" s="4" t="s">
        <v>74</v>
      </c>
    </row>
    <row r="104" spans="1:1" ht="28.5" hidden="1" x14ac:dyDescent="0.45">
      <c r="A104" s="4" t="s">
        <v>237</v>
      </c>
    </row>
    <row r="105" spans="1:1" ht="28.5" hidden="1" x14ac:dyDescent="0.45">
      <c r="A105" s="3" t="s">
        <v>237</v>
      </c>
    </row>
    <row r="106" spans="1:1" ht="28.5" hidden="1" x14ac:dyDescent="0.45">
      <c r="A106" s="4" t="s">
        <v>237</v>
      </c>
    </row>
    <row r="107" spans="1:1" ht="28.5" hidden="1" x14ac:dyDescent="0.45">
      <c r="A107" s="3" t="s">
        <v>237</v>
      </c>
    </row>
    <row r="108" spans="1:1" ht="28.5" hidden="1" x14ac:dyDescent="0.45">
      <c r="A108" s="4" t="s">
        <v>237</v>
      </c>
    </row>
    <row r="109" spans="1:1" ht="28.5" hidden="1" x14ac:dyDescent="0.45">
      <c r="A109" s="3" t="s">
        <v>237</v>
      </c>
    </row>
    <row r="110" spans="1:1" ht="28.5" hidden="1" x14ac:dyDescent="0.45">
      <c r="A110" s="4" t="s">
        <v>237</v>
      </c>
    </row>
    <row r="111" spans="1:1" ht="28.5" hidden="1" x14ac:dyDescent="0.45">
      <c r="A111" s="3" t="s">
        <v>237</v>
      </c>
    </row>
    <row r="112" spans="1:1" ht="28.5" hidden="1" x14ac:dyDescent="0.45">
      <c r="A112" s="4" t="s">
        <v>237</v>
      </c>
    </row>
    <row r="113" spans="1:1" ht="28.5" hidden="1" x14ac:dyDescent="0.45">
      <c r="A113" s="3" t="s">
        <v>237</v>
      </c>
    </row>
    <row r="114" spans="1:1" ht="28.5" hidden="1" x14ac:dyDescent="0.45">
      <c r="A114" s="4" t="s">
        <v>237</v>
      </c>
    </row>
    <row r="115" spans="1:1" ht="28.5" hidden="1" x14ac:dyDescent="0.45">
      <c r="A115" s="3" t="s">
        <v>237</v>
      </c>
    </row>
    <row r="116" spans="1:1" ht="28.5" hidden="1" x14ac:dyDescent="0.45">
      <c r="A116" s="4" t="s">
        <v>237</v>
      </c>
    </row>
    <row r="117" spans="1:1" ht="28.5" hidden="1" x14ac:dyDescent="0.45">
      <c r="A117" s="3" t="s">
        <v>237</v>
      </c>
    </row>
    <row r="118" spans="1:1" ht="28.5" hidden="1" x14ac:dyDescent="0.45">
      <c r="A118" s="4" t="s">
        <v>237</v>
      </c>
    </row>
    <row r="119" spans="1:1" ht="28.5" hidden="1" x14ac:dyDescent="0.45">
      <c r="A119" s="3" t="s">
        <v>237</v>
      </c>
    </row>
    <row r="120" spans="1:1" ht="28.5" hidden="1" x14ac:dyDescent="0.45">
      <c r="A120" s="4" t="s">
        <v>237</v>
      </c>
    </row>
    <row r="121" spans="1:1" ht="28.5" hidden="1" x14ac:dyDescent="0.45">
      <c r="A121" s="3" t="s">
        <v>237</v>
      </c>
    </row>
    <row r="122" spans="1:1" ht="28.5" hidden="1" x14ac:dyDescent="0.45">
      <c r="A122" s="4" t="s">
        <v>237</v>
      </c>
    </row>
    <row r="123" spans="1:1" ht="28.5" hidden="1" x14ac:dyDescent="0.45">
      <c r="A123" s="3" t="s">
        <v>237</v>
      </c>
    </row>
    <row r="124" spans="1:1" ht="28.5" hidden="1" x14ac:dyDescent="0.45">
      <c r="A124" s="4" t="s">
        <v>237</v>
      </c>
    </row>
    <row r="125" spans="1:1" ht="28.5" hidden="1" x14ac:dyDescent="0.45">
      <c r="A125" s="3" t="s">
        <v>237</v>
      </c>
    </row>
    <row r="126" spans="1:1" ht="28.5" hidden="1" x14ac:dyDescent="0.45">
      <c r="A126" s="4" t="s">
        <v>237</v>
      </c>
    </row>
    <row r="127" spans="1:1" ht="28.5" x14ac:dyDescent="0.45">
      <c r="A127" s="3" t="s">
        <v>334</v>
      </c>
    </row>
    <row r="128" spans="1:1" ht="57" x14ac:dyDescent="0.45">
      <c r="A128" s="3" t="s">
        <v>339</v>
      </c>
    </row>
    <row r="129" spans="1:1" ht="28.5" hidden="1" x14ac:dyDescent="0.45">
      <c r="A129" s="3" t="s">
        <v>290</v>
      </c>
    </row>
    <row r="130" spans="1:1" ht="28.5" hidden="1" x14ac:dyDescent="0.45">
      <c r="A130" s="4" t="s">
        <v>290</v>
      </c>
    </row>
    <row r="131" spans="1:1" ht="28.5" hidden="1" x14ac:dyDescent="0.45">
      <c r="A131" s="3" t="s">
        <v>290</v>
      </c>
    </row>
    <row r="132" spans="1:1" ht="28.5" hidden="1" x14ac:dyDescent="0.45">
      <c r="A132" s="4" t="s">
        <v>290</v>
      </c>
    </row>
    <row r="133" spans="1:1" ht="28.5" hidden="1" x14ac:dyDescent="0.45">
      <c r="A133" s="3" t="s">
        <v>290</v>
      </c>
    </row>
    <row r="134" spans="1:1" ht="28.5" hidden="1" x14ac:dyDescent="0.45">
      <c r="A134" s="4" t="s">
        <v>290</v>
      </c>
    </row>
    <row r="135" spans="1:1" ht="28.5" hidden="1" x14ac:dyDescent="0.45">
      <c r="A135" s="3" t="s">
        <v>290</v>
      </c>
    </row>
    <row r="136" spans="1:1" ht="28.5" hidden="1" x14ac:dyDescent="0.45">
      <c r="A136" s="4" t="s">
        <v>290</v>
      </c>
    </row>
    <row r="137" spans="1:1" ht="28.5" hidden="1" x14ac:dyDescent="0.45">
      <c r="A137" s="3" t="s">
        <v>290</v>
      </c>
    </row>
    <row r="138" spans="1:1" ht="28.5" hidden="1" x14ac:dyDescent="0.45">
      <c r="A138" s="4" t="s">
        <v>290</v>
      </c>
    </row>
    <row r="139" spans="1:1" ht="28.5" hidden="1" x14ac:dyDescent="0.45">
      <c r="A139" s="3" t="s">
        <v>290</v>
      </c>
    </row>
    <row r="140" spans="1:1" ht="28.5" hidden="1" x14ac:dyDescent="0.45">
      <c r="A140" s="4" t="s">
        <v>290</v>
      </c>
    </row>
    <row r="141" spans="1:1" ht="28.5" hidden="1" x14ac:dyDescent="0.45">
      <c r="A141" s="3" t="s">
        <v>290</v>
      </c>
    </row>
    <row r="142" spans="1:1" ht="28.5" hidden="1" x14ac:dyDescent="0.45">
      <c r="A142" s="4" t="s">
        <v>290</v>
      </c>
    </row>
    <row r="143" spans="1:1" ht="28.5" hidden="1" x14ac:dyDescent="0.45">
      <c r="A143" s="3" t="s">
        <v>290</v>
      </c>
    </row>
    <row r="144" spans="1:1" ht="28.5" x14ac:dyDescent="0.45">
      <c r="A144" s="4" t="s">
        <v>342</v>
      </c>
    </row>
    <row r="145" spans="1:1" ht="28.5" hidden="1" x14ac:dyDescent="0.45">
      <c r="A145" s="3" t="s">
        <v>323</v>
      </c>
    </row>
    <row r="146" spans="1:1" ht="28.5" hidden="1" x14ac:dyDescent="0.45">
      <c r="A146" s="4" t="s">
        <v>323</v>
      </c>
    </row>
    <row r="147" spans="1:1" ht="28.5" hidden="1" x14ac:dyDescent="0.45">
      <c r="A147" s="3" t="s">
        <v>323</v>
      </c>
    </row>
    <row r="148" spans="1:1" ht="28.5" hidden="1" x14ac:dyDescent="0.45">
      <c r="A148" s="4" t="s">
        <v>323</v>
      </c>
    </row>
    <row r="149" spans="1:1" ht="28.5" x14ac:dyDescent="0.45">
      <c r="A149" s="4" t="s">
        <v>205</v>
      </c>
    </row>
    <row r="150" spans="1:1" ht="28.5" hidden="1" x14ac:dyDescent="0.45">
      <c r="A150" s="4" t="s">
        <v>334</v>
      </c>
    </row>
    <row r="151" spans="1:1" ht="42.75" x14ac:dyDescent="0.45">
      <c r="A151" s="4" t="s">
        <v>100</v>
      </c>
    </row>
    <row r="152" spans="1:1" ht="42.75" x14ac:dyDescent="0.45">
      <c r="A152" s="3" t="s">
        <v>97</v>
      </c>
    </row>
    <row r="153" spans="1:1" ht="71.25" x14ac:dyDescent="0.45">
      <c r="A153" s="3" t="s">
        <v>286</v>
      </c>
    </row>
    <row r="154" spans="1:1" ht="42.75" x14ac:dyDescent="0.45">
      <c r="A154" s="4" t="s">
        <v>345</v>
      </c>
    </row>
    <row r="155" spans="1:1" ht="42.75" hidden="1" x14ac:dyDescent="0.45">
      <c r="A155" s="3" t="s">
        <v>345</v>
      </c>
    </row>
    <row r="156" spans="1:1" ht="42.75" hidden="1" x14ac:dyDescent="0.45">
      <c r="A156" s="3" t="s">
        <v>345</v>
      </c>
    </row>
    <row r="157" spans="1:1" ht="71.25" x14ac:dyDescent="0.45">
      <c r="A157" s="4" t="s">
        <v>352</v>
      </c>
    </row>
    <row r="158" spans="1:1" ht="28.5" hidden="1" x14ac:dyDescent="0.45">
      <c r="A158" s="4" t="s">
        <v>355</v>
      </c>
    </row>
    <row r="159" spans="1:1" ht="28.5" hidden="1" x14ac:dyDescent="0.45">
      <c r="A159" s="3" t="s">
        <v>355</v>
      </c>
    </row>
    <row r="160" spans="1:1" ht="28.5" hidden="1" x14ac:dyDescent="0.45">
      <c r="A160" s="4" t="s">
        <v>355</v>
      </c>
    </row>
    <row r="161" spans="1:1" ht="28.5" x14ac:dyDescent="0.45">
      <c r="A161" s="3" t="s">
        <v>365</v>
      </c>
    </row>
    <row r="162" spans="1:1" ht="28.5" hidden="1" x14ac:dyDescent="0.45">
      <c r="A162" s="4" t="s">
        <v>365</v>
      </c>
    </row>
    <row r="163" spans="1:1" ht="28.5" hidden="1" x14ac:dyDescent="0.45">
      <c r="A163" s="3" t="s">
        <v>365</v>
      </c>
    </row>
    <row r="164" spans="1:1" ht="28.5" hidden="1" x14ac:dyDescent="0.45">
      <c r="A164" s="4" t="s">
        <v>365</v>
      </c>
    </row>
    <row r="165" spans="1:1" ht="28.5" hidden="1" x14ac:dyDescent="0.45">
      <c r="A165" s="3" t="s">
        <v>365</v>
      </c>
    </row>
    <row r="166" spans="1:1" ht="28.5" hidden="1" x14ac:dyDescent="0.45">
      <c r="A166" s="4" t="s">
        <v>365</v>
      </c>
    </row>
  </sheetData>
  <sortState xmlns:xlrd2="http://schemas.microsoft.com/office/spreadsheetml/2017/richdata2" ref="A1:A161">
    <sortCondition ref="A1:A16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Ehrenmueller-Jensen</dc:creator>
  <cp:lastModifiedBy>Markus Ehrenmueller-Jensen</cp:lastModifiedBy>
  <dcterms:created xsi:type="dcterms:W3CDTF">2026-06-01T08:40:12Z</dcterms:created>
  <dcterms:modified xsi:type="dcterms:W3CDTF">2026-06-01T13:08:25Z</dcterms:modified>
</cp:coreProperties>
</file>